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Videos\Introduction to DA #!\Excel\Data\"/>
    </mc:Choice>
  </mc:AlternateContent>
  <xr:revisionPtr revIDLastSave="0" documentId="13_ncr:1_{6F511160-6D8C-48E5-AE32-9F0A7D7CB981}" xr6:coauthVersionLast="47" xr6:coauthVersionMax="47" xr10:uidLastSave="{00000000-0000-0000-0000-000000000000}"/>
  <bookViews>
    <workbookView xWindow="-108" yWindow="-108" windowWidth="23256" windowHeight="12456" activeTab="4" xr2:uid="{00000000-000D-0000-FFFF-FFFF00000000}"/>
  </bookViews>
  <sheets>
    <sheet name="Table" sheetId="1" r:id="rId1"/>
    <sheet name="Queries" sheetId="2" r:id="rId2"/>
    <sheet name="Pivot Tables" sheetId="6" r:id="rId3"/>
    <sheet name="Dashboard" sheetId="7" r:id="rId4"/>
    <sheet name="Sheet8" sheetId="8" r:id="rId5"/>
  </sheets>
  <definedNames>
    <definedName name="Slicer_Department">#N/A</definedName>
    <definedName name="Slicer_Emp_I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1" l="1" a="1"/>
  <c r="N5" i="1" s="1"/>
  <c r="N6" i="1" a="1"/>
  <c r="N6" i="1"/>
  <c r="N7" i="1" a="1"/>
  <c r="N7" i="1" s="1"/>
  <c r="N8" i="1" a="1"/>
  <c r="N8" i="1"/>
  <c r="N9" i="1" a="1"/>
  <c r="N9" i="1" s="1"/>
  <c r="N10" i="1" a="1"/>
  <c r="N10" i="1"/>
  <c r="N11" i="1" a="1"/>
  <c r="N11" i="1" s="1"/>
  <c r="N12" i="1" a="1"/>
  <c r="N12" i="1"/>
  <c r="N13" i="1" a="1"/>
  <c r="N13" i="1" s="1"/>
  <c r="N14" i="1" a="1"/>
  <c r="N14" i="1" s="1"/>
  <c r="L5" i="1"/>
  <c r="L6" i="1"/>
  <c r="L7" i="1"/>
  <c r="L8" i="1"/>
  <c r="L9" i="1"/>
  <c r="L10" i="1"/>
  <c r="M10" i="1" s="1"/>
  <c r="L11" i="1"/>
  <c r="L12" i="1"/>
  <c r="L13" i="1"/>
  <c r="M13" i="1" s="1"/>
  <c r="L14" i="1"/>
  <c r="M14" i="1" s="1"/>
  <c r="M8" i="1" l="1"/>
  <c r="M7" i="1"/>
  <c r="M6" i="1"/>
  <c r="M9" i="1"/>
  <c r="M12" i="1"/>
  <c r="M5" i="1"/>
  <c r="A1" i="8" s="1" a="1"/>
  <c r="B19" i="7" s="1"/>
  <c r="M11" i="1"/>
  <c r="A1" i="8" l="1"/>
  <c r="B7" i="7"/>
  <c r="B13" i="7"/>
  <c r="B25" i="7"/>
  <c r="B10" i="7"/>
  <c r="A1" i="7"/>
  <c r="B22" i="7"/>
  <c r="B1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<sst xmlns="http://schemas.openxmlformats.org/spreadsheetml/2006/main" count="121" uniqueCount="77">
  <si>
    <t xml:space="preserve">📊 Employee Performance Dataset </t>
  </si>
  <si>
    <t>Emp ID</t>
  </si>
  <si>
    <t>Name</t>
  </si>
  <si>
    <t>Gender</t>
  </si>
  <si>
    <t>Department</t>
  </si>
  <si>
    <t>Location</t>
  </si>
  <si>
    <t>Role</t>
  </si>
  <si>
    <t>Experience (Years)</t>
  </si>
  <si>
    <t xml:space="preserve">Annual Salary </t>
  </si>
  <si>
    <t xml:space="preserve">Target </t>
  </si>
  <si>
    <t>Achieved</t>
  </si>
  <si>
    <t>Achievement</t>
  </si>
  <si>
    <t>Rank</t>
  </si>
  <si>
    <t>E101</t>
  </si>
  <si>
    <t>James Anderson</t>
  </si>
  <si>
    <t>Male</t>
  </si>
  <si>
    <t>Finance</t>
  </si>
  <si>
    <t>New York</t>
  </si>
  <si>
    <t>Analyst</t>
  </si>
  <si>
    <t>E102</t>
  </si>
  <si>
    <t>Olivia Martin</t>
  </si>
  <si>
    <t>Female</t>
  </si>
  <si>
    <t>IT</t>
  </si>
  <si>
    <t>Chicago</t>
  </si>
  <si>
    <t>Executive</t>
  </si>
  <si>
    <t>E103</t>
  </si>
  <si>
    <t>William Scott</t>
  </si>
  <si>
    <t>HR</t>
  </si>
  <si>
    <t>Houston</t>
  </si>
  <si>
    <t>Consultant</t>
  </si>
  <si>
    <t>E104</t>
  </si>
  <si>
    <t>Ava Thompson</t>
  </si>
  <si>
    <t>Marketing</t>
  </si>
  <si>
    <t>Phoenix</t>
  </si>
  <si>
    <t>Manager</t>
  </si>
  <si>
    <t>E105</t>
  </si>
  <si>
    <t>Benjamin Carter</t>
  </si>
  <si>
    <t>Sales</t>
  </si>
  <si>
    <t>Los Angeles</t>
  </si>
  <si>
    <t>E106</t>
  </si>
  <si>
    <t>Emily White</t>
  </si>
  <si>
    <t>Operations</t>
  </si>
  <si>
    <t>E107</t>
  </si>
  <si>
    <t>Lucas Hernandez</t>
  </si>
  <si>
    <t>E108</t>
  </si>
  <si>
    <t>Sophia Lewis</t>
  </si>
  <si>
    <t>E109</t>
  </si>
  <si>
    <t>Masoni Walker</t>
  </si>
  <si>
    <t>E110</t>
  </si>
  <si>
    <t>Isabella Hall</t>
  </si>
  <si>
    <t>DASHBOARD QUERIES</t>
  </si>
  <si>
    <t>Queries</t>
  </si>
  <si>
    <t>One-Click Insights of Every Employee</t>
  </si>
  <si>
    <t>What is the average annual salary in each department?</t>
  </si>
  <si>
    <t>How does each department perform in terms of target vs actual achievement?</t>
  </si>
  <si>
    <t>Which roles are achieving more % of their targets?</t>
  </si>
  <si>
    <t>What is the male vs female employee ratio?</t>
  </si>
  <si>
    <t>Describe the experience-wise performance of staff</t>
  </si>
  <si>
    <t>What is the salary gap between male and female employees in each role?</t>
  </si>
  <si>
    <t>Row Labels</t>
  </si>
  <si>
    <t>Grand Total</t>
  </si>
  <si>
    <t xml:space="preserve">Sum of Annual Salary </t>
  </si>
  <si>
    <t xml:space="preserve">Average of Annual Salary </t>
  </si>
  <si>
    <t>Column Labels</t>
  </si>
  <si>
    <t>Sum of Achievement</t>
  </si>
  <si>
    <t>Target</t>
  </si>
  <si>
    <t>Department :</t>
  </si>
  <si>
    <t>Role :</t>
  </si>
  <si>
    <t xml:space="preserve">Gender : </t>
  </si>
  <si>
    <t>Experience :</t>
  </si>
  <si>
    <t>Annual Salary :</t>
  </si>
  <si>
    <t>Achievement :</t>
  </si>
  <si>
    <t>Rank :</t>
  </si>
  <si>
    <t>Achieveds</t>
  </si>
  <si>
    <t>Count of Emp ID</t>
  </si>
  <si>
    <t>Experience Bucket</t>
  </si>
  <si>
    <t>Mid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</si>
</sst>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409]#,##0"/>
  </numFmts>
  <fonts count="15" x14ac:knownFonts="1">
    <font>
      <sz val="11"/>
      <color theme="1"/>
      <name val="Calibri"/>
      <family val="2"/>
      <scheme val="minor"/>
    </font>
    <font>
      <b/>
      <sz val="11"/>
      <color theme="0"/>
      <name val="Calibri"/>
      <family val="2"/>
      <scheme val="minor"/>
    </font>
    <font>
      <sz val="11"/>
      <color theme="0"/>
      <name val="Calibri"/>
      <family val="2"/>
      <scheme val="minor"/>
    </font>
    <font>
      <b/>
      <sz val="20"/>
      <color theme="1"/>
      <name val="Calibri"/>
      <family val="2"/>
      <scheme val="minor"/>
    </font>
    <font>
      <b/>
      <sz val="20"/>
      <color theme="2" tint="-0.749992370372631"/>
      <name val="Poppins"/>
    </font>
    <font>
      <sz val="16"/>
      <color theme="1"/>
      <name val="Calibri"/>
      <family val="2"/>
      <scheme val="minor"/>
    </font>
    <font>
      <b/>
      <sz val="18"/>
      <color theme="1"/>
      <name val="Poppins"/>
    </font>
    <font>
      <b/>
      <sz val="14"/>
      <color theme="1"/>
      <name val="Poppins"/>
    </font>
    <font>
      <sz val="12"/>
      <color theme="1" tint="0.34998626667073579"/>
      <name val="Poppins"/>
    </font>
    <font>
      <sz val="12"/>
      <color theme="1"/>
      <name val="Poppins"/>
    </font>
    <font>
      <b/>
      <sz val="22"/>
      <color theme="1"/>
      <name val="Poppins"/>
    </font>
    <font>
      <b/>
      <sz val="9"/>
      <color theme="1"/>
      <name val="Poppins"/>
    </font>
    <font>
      <sz val="9"/>
      <color theme="1"/>
      <name val="Poppins"/>
    </font>
    <font>
      <b/>
      <sz val="14"/>
      <color theme="0"/>
      <name val="Poppins"/>
    </font>
    <font>
      <b/>
      <sz val="14"/>
      <name val="Poppins"/>
    </font>
  </fonts>
  <fills count="8">
    <fill>
      <patternFill patternType="none"/>
    </fill>
    <fill>
      <patternFill patternType="gray125"/>
    </fill>
    <fill>
      <patternFill patternType="solid">
        <fgColor rgb="FFFFC000"/>
        <bgColor indexed="64"/>
      </patternFill>
    </fill>
    <fill>
      <patternFill patternType="solid">
        <fgColor theme="1"/>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9">
    <xf numFmtId="0" fontId="0" fillId="0" borderId="0" xfId="0"/>
    <xf numFmtId="0" fontId="2" fillId="4" borderId="1" xfId="0" applyFont="1" applyFill="1" applyBorder="1" applyAlignment="1">
      <alignment horizontal="center" vertical="center"/>
    </xf>
    <xf numFmtId="165" fontId="2" fillId="4" borderId="1" xfId="0" applyNumberFormat="1" applyFont="1" applyFill="1" applyBorder="1" applyAlignment="1">
      <alignment horizontal="center" vertical="center"/>
    </xf>
    <xf numFmtId="10" fontId="2" fillId="4" borderId="1" xfId="0" applyNumberFormat="1" applyFont="1" applyFill="1" applyBorder="1" applyAlignment="1">
      <alignment horizontal="center" vertical="center"/>
    </xf>
    <xf numFmtId="165" fontId="2" fillId="4" borderId="2" xfId="0" applyNumberFormat="1" applyFont="1" applyFill="1" applyBorder="1" applyAlignment="1">
      <alignment horizontal="center" vertical="center"/>
    </xf>
    <xf numFmtId="0" fontId="1" fillId="3" borderId="0" xfId="0" applyFont="1" applyFill="1" applyAlignment="1">
      <alignment horizontal="center"/>
    </xf>
    <xf numFmtId="164" fontId="1" fillId="3" borderId="0" xfId="0" applyNumberFormat="1" applyFont="1" applyFill="1" applyAlignment="1">
      <alignment horizontal="center"/>
    </xf>
    <xf numFmtId="0" fontId="4" fillId="2" borderId="0" xfId="0" applyFont="1" applyFill="1" applyAlignment="1">
      <alignment vertical="center"/>
    </xf>
    <xf numFmtId="0" fontId="4" fillId="5" borderId="0" xfId="0" applyFont="1" applyFill="1" applyAlignment="1">
      <alignment vertical="top"/>
    </xf>
    <xf numFmtId="0" fontId="4" fillId="5" borderId="0" xfId="0" applyFont="1" applyFill="1"/>
    <xf numFmtId="0" fontId="4" fillId="5" borderId="0" xfId="0" applyFont="1" applyFill="1" applyAlignment="1">
      <alignment horizontal="center" vertical="center"/>
    </xf>
    <xf numFmtId="0" fontId="4" fillId="5" borderId="0" xfId="0" applyFont="1" applyFill="1" applyAlignment="1">
      <alignment vertical="center"/>
    </xf>
    <xf numFmtId="0" fontId="0" fillId="5" borderId="0" xfId="0" applyFill="1"/>
    <xf numFmtId="0" fontId="0" fillId="5" borderId="0" xfId="0" applyFill="1" applyAlignment="1">
      <alignment vertical="top"/>
    </xf>
    <xf numFmtId="0" fontId="0" fillId="5" borderId="0" xfId="0" applyFill="1" applyAlignment="1">
      <alignment horizontal="center"/>
    </xf>
    <xf numFmtId="0" fontId="5" fillId="5" borderId="0" xfId="0" applyFont="1" applyFill="1"/>
    <xf numFmtId="0" fontId="7" fillId="5" borderId="0" xfId="0" applyFont="1" applyFill="1" applyAlignment="1">
      <alignment horizontal="center"/>
    </xf>
    <xf numFmtId="0" fontId="8" fillId="6" borderId="0" xfId="0" applyFont="1" applyFill="1" applyAlignment="1">
      <alignment horizontal="center" vertical="top"/>
    </xf>
    <xf numFmtId="0" fontId="9" fillId="5" borderId="5" xfId="0" applyFont="1" applyFill="1" applyBorder="1" applyAlignment="1">
      <alignment horizontal="left" vertical="center"/>
    </xf>
    <xf numFmtId="0" fontId="9" fillId="5" borderId="4" xfId="0" applyFont="1" applyFill="1" applyBorder="1" applyAlignment="1">
      <alignment horizontal="left" vertical="center"/>
    </xf>
    <xf numFmtId="0" fontId="8" fillId="5" borderId="0" xfId="0" applyFont="1" applyFill="1" applyAlignment="1">
      <alignment horizontal="center" vertical="top"/>
    </xf>
    <xf numFmtId="0" fontId="2" fillId="4" borderId="3" xfId="0" applyFont="1" applyFill="1" applyBorder="1" applyAlignment="1">
      <alignment horizontal="center" vertical="center"/>
    </xf>
    <xf numFmtId="165" fontId="2" fillId="4" borderId="3" xfId="0" applyNumberFormat="1" applyFont="1" applyFill="1" applyBorder="1" applyAlignment="1">
      <alignment horizontal="center" vertical="center"/>
    </xf>
    <xf numFmtId="10" fontId="2" fillId="4" borderId="3"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2" fillId="4" borderId="2" xfId="0" applyNumberFormat="1" applyFont="1" applyFill="1" applyBorder="1" applyAlignment="1">
      <alignment horizontal="center" vertical="center"/>
    </xf>
    <xf numFmtId="0" fontId="2" fillId="4" borderId="1" xfId="0" applyNumberFormat="1" applyFont="1" applyFill="1" applyBorder="1" applyAlignment="1">
      <alignment horizontal="center" vertical="center"/>
    </xf>
    <xf numFmtId="0" fontId="2" fillId="4" borderId="3" xfId="0" applyNumberFormat="1" applyFont="1" applyFill="1" applyBorder="1" applyAlignment="1">
      <alignment horizontal="center" vertical="center"/>
    </xf>
    <xf numFmtId="0" fontId="12" fillId="7" borderId="0" xfId="0" applyFont="1" applyFill="1"/>
    <xf numFmtId="0" fontId="12" fillId="2" borderId="0" xfId="0" applyFont="1" applyFill="1"/>
    <xf numFmtId="0" fontId="11" fillId="2" borderId="0" xfId="0" applyFont="1" applyFill="1" applyAlignment="1">
      <alignment vertical="center"/>
    </xf>
    <xf numFmtId="0" fontId="3" fillId="2" borderId="0" xfId="0" applyFont="1" applyFill="1" applyAlignment="1">
      <alignment horizontal="center" vertical="center"/>
    </xf>
    <xf numFmtId="0" fontId="9" fillId="5" borderId="0" xfId="0" applyFont="1" applyFill="1" applyAlignment="1">
      <alignment horizontal="left" vertical="center"/>
    </xf>
    <xf numFmtId="0" fontId="9" fillId="5" borderId="0" xfId="0" applyFont="1" applyFill="1" applyAlignment="1">
      <alignment horizontal="left"/>
    </xf>
    <xf numFmtId="0" fontId="9" fillId="5" borderId="5" xfId="0" applyFont="1" applyFill="1" applyBorder="1" applyAlignment="1">
      <alignment horizontal="left" wrapText="1"/>
    </xf>
    <xf numFmtId="0" fontId="9" fillId="5" borderId="5" xfId="0" applyFont="1" applyFill="1" applyBorder="1" applyAlignment="1">
      <alignment horizontal="left"/>
    </xf>
    <xf numFmtId="0" fontId="6" fillId="5" borderId="0" xfId="0" applyFont="1" applyFill="1" applyAlignment="1">
      <alignment horizontal="left" vertical="top"/>
    </xf>
    <xf numFmtId="0" fontId="9" fillId="5" borderId="4" xfId="0" applyFont="1" applyFill="1" applyBorder="1" applyAlignment="1">
      <alignment horizontal="left" vertical="center"/>
    </xf>
    <xf numFmtId="0" fontId="9" fillId="5" borderId="5" xfId="0" applyFont="1" applyFill="1" applyBorder="1" applyAlignment="1">
      <alignment horizontal="left" vertical="center"/>
    </xf>
    <xf numFmtId="0" fontId="13" fillId="2" borderId="0" xfId="0" applyFont="1" applyFill="1" applyAlignment="1">
      <alignment horizontal="left" vertical="center"/>
    </xf>
    <xf numFmtId="0" fontId="10" fillId="2" borderId="0" xfId="0" applyFont="1" applyFill="1" applyAlignment="1">
      <alignment horizontal="left" vertical="center" wrapText="1"/>
    </xf>
    <xf numFmtId="0" fontId="13" fillId="2" borderId="0" xfId="0" applyFont="1" applyFill="1" applyAlignment="1">
      <alignment horizontal="left" vertical="center" wrapText="1"/>
    </xf>
    <xf numFmtId="0" fontId="7" fillId="2" borderId="0" xfId="0" applyFont="1" applyFill="1" applyAlignment="1">
      <alignment horizontal="center" vertical="center"/>
    </xf>
    <xf numFmtId="0" fontId="14" fillId="2" borderId="0" xfId="0" applyFont="1" applyFill="1" applyAlignment="1">
      <alignment horizontal="center" vertical="center"/>
    </xf>
    <xf numFmtId="0" fontId="14" fillId="2" borderId="0" xfId="0" applyFont="1" applyFill="1" applyAlignment="1">
      <alignment horizontal="center" vertical="center" wrapText="1"/>
    </xf>
    <xf numFmtId="10" fontId="14" fillId="2" borderId="0" xfId="0" applyNumberFormat="1" applyFont="1" applyFill="1" applyAlignment="1">
      <alignment horizontal="center" vertical="center"/>
    </xf>
  </cellXfs>
  <cellStyles count="1">
    <cellStyle name="Normal" xfId="0" builtinId="0"/>
  </cellStyles>
  <dxfs count="16">
    <dxf>
      <font>
        <b val="0"/>
        <i val="0"/>
        <strike val="0"/>
        <condense val="0"/>
        <extend val="0"/>
        <outline val="0"/>
        <shadow val="0"/>
        <u val="none"/>
        <vertAlign val="baseline"/>
        <sz val="11"/>
        <color theme="0"/>
        <name val="Calibri"/>
        <family val="2"/>
        <scheme val="minor"/>
      </font>
      <numFmt numFmtId="165" formatCode="[$$-409]#,##0"/>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34998626667073579"/>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numFmt numFmtId="14" formatCode="0.00%"/>
      <fill>
        <patternFill patternType="solid">
          <fgColor indexed="64"/>
          <bgColor theme="1" tint="0.34998626667073579"/>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numFmt numFmtId="165" formatCode="[$$-409]#,##0"/>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numFmt numFmtId="165" formatCode="[$$-409]#,##0"/>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numFmt numFmtId="165" formatCode="[$$-409]#,##0"/>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Main.xlsx]Pivot Tables!Annual Salary Dept</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Annual</a:t>
            </a:r>
            <a:r>
              <a:rPr lang="en-US" baseline="0">
                <a:solidFill>
                  <a:schemeClr val="bg1"/>
                </a:solidFill>
              </a:rPr>
              <a:t> Salary</a:t>
            </a:r>
          </a:p>
        </c:rich>
      </c:tx>
      <c:layout>
        <c:manualLayout>
          <c:xMode val="edge"/>
          <c:yMode val="edge"/>
          <c:x val="5.056233595800523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rgbClr val="FFC000"/>
            </a:solidFill>
            <a:ln>
              <a:noFill/>
            </a:ln>
            <a:effectLst/>
          </c:spPr>
          <c:invertIfNegative val="0"/>
          <c:cat>
            <c:strRef>
              <c:f>'Pivot Tables'!$A$4:$A$5</c:f>
              <c:strCache>
                <c:ptCount val="1"/>
                <c:pt idx="0">
                  <c:v>Operations</c:v>
                </c:pt>
              </c:strCache>
            </c:strRef>
          </c:cat>
          <c:val>
            <c:numRef>
              <c:f>'Pivot Tables'!$B$4:$B$5</c:f>
              <c:numCache>
                <c:formatCode>General</c:formatCode>
                <c:ptCount val="1"/>
                <c:pt idx="0">
                  <c:v>67000</c:v>
                </c:pt>
              </c:numCache>
            </c:numRef>
          </c:val>
          <c:extLst>
            <c:ext xmlns:c16="http://schemas.microsoft.com/office/drawing/2014/chart" uri="{C3380CC4-5D6E-409C-BE32-E72D297353CC}">
              <c16:uniqueId val="{00000000-8074-4362-B299-B6C69309A2B7}"/>
            </c:ext>
          </c:extLst>
        </c:ser>
        <c:dLbls>
          <c:showLegendKey val="0"/>
          <c:showVal val="0"/>
          <c:showCatName val="0"/>
          <c:showSerName val="0"/>
          <c:showPercent val="0"/>
          <c:showBubbleSize val="0"/>
        </c:dLbls>
        <c:gapWidth val="44"/>
        <c:overlap val="-27"/>
        <c:axId val="1043184175"/>
        <c:axId val="1043186671"/>
      </c:barChart>
      <c:catAx>
        <c:axId val="104318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3186671"/>
        <c:crosses val="autoZero"/>
        <c:auto val="1"/>
        <c:lblAlgn val="ctr"/>
        <c:lblOffset val="100"/>
        <c:noMultiLvlLbl val="0"/>
      </c:catAx>
      <c:valAx>
        <c:axId val="1043186671"/>
        <c:scaling>
          <c:orientation val="minMax"/>
        </c:scaling>
        <c:delete val="1"/>
        <c:axPos val="l"/>
        <c:numFmt formatCode="General" sourceLinked="1"/>
        <c:majorTickMark val="none"/>
        <c:minorTickMark val="none"/>
        <c:tickLblPos val="nextTo"/>
        <c:crossAx val="104318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Main.xlsx]Pivot Tables!Target vs Sales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Target</a:t>
            </a:r>
            <a:r>
              <a:rPr lang="en-IN" baseline="0">
                <a:solidFill>
                  <a:schemeClr val="bg1"/>
                </a:solidFill>
              </a:rPr>
              <a:t> vs Sales</a:t>
            </a:r>
          </a:p>
        </c:rich>
      </c:tx>
      <c:layout>
        <c:manualLayout>
          <c:xMode val="edge"/>
          <c:yMode val="edge"/>
          <c:x val="3.067265485335920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Target</c:v>
                </c:pt>
              </c:strCache>
            </c:strRef>
          </c:tx>
          <c:spPr>
            <a:solidFill>
              <a:srgbClr val="0070C0"/>
            </a:solidFill>
            <a:ln>
              <a:noFill/>
            </a:ln>
            <a:effectLst/>
          </c:spPr>
          <c:invertIfNegative val="0"/>
          <c:cat>
            <c:strRef>
              <c:f>'Pivot Tables'!$E$4:$E$5</c:f>
              <c:strCache>
                <c:ptCount val="1"/>
                <c:pt idx="0">
                  <c:v>Operations</c:v>
                </c:pt>
              </c:strCache>
            </c:strRef>
          </c:cat>
          <c:val>
            <c:numRef>
              <c:f>'Pivot Tables'!$F$4:$F$5</c:f>
              <c:numCache>
                <c:formatCode>General</c:formatCode>
                <c:ptCount val="1"/>
                <c:pt idx="0">
                  <c:v>100000</c:v>
                </c:pt>
              </c:numCache>
            </c:numRef>
          </c:val>
          <c:extLst>
            <c:ext xmlns:c16="http://schemas.microsoft.com/office/drawing/2014/chart" uri="{C3380CC4-5D6E-409C-BE32-E72D297353CC}">
              <c16:uniqueId val="{00000000-F6ED-40F5-BBBB-825240F7AF40}"/>
            </c:ext>
          </c:extLst>
        </c:ser>
        <c:ser>
          <c:idx val="1"/>
          <c:order val="1"/>
          <c:tx>
            <c:strRef>
              <c:f>'Pivot Tables'!$G$3</c:f>
              <c:strCache>
                <c:ptCount val="1"/>
                <c:pt idx="0">
                  <c:v>Achieveds</c:v>
                </c:pt>
              </c:strCache>
            </c:strRef>
          </c:tx>
          <c:spPr>
            <a:solidFill>
              <a:srgbClr val="FFC000"/>
            </a:solidFill>
            <a:ln>
              <a:noFill/>
            </a:ln>
            <a:effectLst/>
          </c:spPr>
          <c:invertIfNegative val="0"/>
          <c:cat>
            <c:strRef>
              <c:f>'Pivot Tables'!$E$4:$E$5</c:f>
              <c:strCache>
                <c:ptCount val="1"/>
                <c:pt idx="0">
                  <c:v>Operations</c:v>
                </c:pt>
              </c:strCache>
            </c:strRef>
          </c:cat>
          <c:val>
            <c:numRef>
              <c:f>'Pivot Tables'!$G$4:$G$5</c:f>
              <c:numCache>
                <c:formatCode>General</c:formatCode>
                <c:ptCount val="1"/>
                <c:pt idx="0">
                  <c:v>90000</c:v>
                </c:pt>
              </c:numCache>
            </c:numRef>
          </c:val>
          <c:extLst>
            <c:ext xmlns:c16="http://schemas.microsoft.com/office/drawing/2014/chart" uri="{C3380CC4-5D6E-409C-BE32-E72D297353CC}">
              <c16:uniqueId val="{00000001-F6ED-40F5-BBBB-825240F7AF40}"/>
            </c:ext>
          </c:extLst>
        </c:ser>
        <c:dLbls>
          <c:showLegendKey val="0"/>
          <c:showVal val="0"/>
          <c:showCatName val="0"/>
          <c:showSerName val="0"/>
          <c:showPercent val="0"/>
          <c:showBubbleSize val="0"/>
        </c:dLbls>
        <c:gapWidth val="120"/>
        <c:overlap val="-27"/>
        <c:axId val="1050474767"/>
        <c:axId val="1050479343"/>
      </c:barChart>
      <c:catAx>
        <c:axId val="105047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0479343"/>
        <c:crosses val="autoZero"/>
        <c:auto val="1"/>
        <c:lblAlgn val="ctr"/>
        <c:lblOffset val="100"/>
        <c:noMultiLvlLbl val="0"/>
      </c:catAx>
      <c:valAx>
        <c:axId val="1050479343"/>
        <c:scaling>
          <c:orientation val="minMax"/>
        </c:scaling>
        <c:delete val="1"/>
        <c:axPos val="l"/>
        <c:numFmt formatCode="General" sourceLinked="1"/>
        <c:majorTickMark val="none"/>
        <c:minorTickMark val="none"/>
        <c:tickLblPos val="nextTo"/>
        <c:crossAx val="105047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Main.xlsx]Pivot Tables!Role Ach.</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Role</a:t>
            </a:r>
            <a:r>
              <a:rPr lang="en-US" baseline="0">
                <a:solidFill>
                  <a:schemeClr val="bg1"/>
                </a:solidFill>
              </a:rPr>
              <a:t> wise Achieved</a:t>
            </a:r>
          </a:p>
        </c:rich>
      </c:tx>
      <c:layout>
        <c:manualLayout>
          <c:xMode val="edge"/>
          <c:yMode val="edge"/>
          <c:x val="4.04582239720035E-2"/>
          <c:y val="2.3561634855882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Tables'!$K$4:$K$5</c:f>
              <c:strCache>
                <c:ptCount val="1"/>
                <c:pt idx="0">
                  <c:v>Executive</c:v>
                </c:pt>
              </c:strCache>
            </c:strRef>
          </c:cat>
          <c:val>
            <c:numRef>
              <c:f>'Pivot Tables'!$L$4:$L$5</c:f>
              <c:numCache>
                <c:formatCode>0.00%</c:formatCode>
                <c:ptCount val="1"/>
                <c:pt idx="0">
                  <c:v>1</c:v>
                </c:pt>
              </c:numCache>
            </c:numRef>
          </c:val>
          <c:smooth val="0"/>
          <c:extLst>
            <c:ext xmlns:c16="http://schemas.microsoft.com/office/drawing/2014/chart" uri="{C3380CC4-5D6E-409C-BE32-E72D297353CC}">
              <c16:uniqueId val="{00000000-EA63-4584-8941-7BD318746DCF}"/>
            </c:ext>
          </c:extLst>
        </c:ser>
        <c:dLbls>
          <c:showLegendKey val="0"/>
          <c:showVal val="0"/>
          <c:showCatName val="0"/>
          <c:showSerName val="0"/>
          <c:showPercent val="0"/>
          <c:showBubbleSize val="0"/>
        </c:dLbls>
        <c:marker val="1"/>
        <c:smooth val="0"/>
        <c:axId val="1050642511"/>
        <c:axId val="1050633775"/>
      </c:lineChart>
      <c:catAx>
        <c:axId val="105064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0633775"/>
        <c:crosses val="autoZero"/>
        <c:auto val="1"/>
        <c:lblAlgn val="ctr"/>
        <c:lblOffset val="100"/>
        <c:noMultiLvlLbl val="0"/>
      </c:catAx>
      <c:valAx>
        <c:axId val="1050633775"/>
        <c:scaling>
          <c:orientation val="minMax"/>
        </c:scaling>
        <c:delete val="1"/>
        <c:axPos val="l"/>
        <c:numFmt formatCode="0.00%" sourceLinked="1"/>
        <c:majorTickMark val="none"/>
        <c:minorTickMark val="none"/>
        <c:tickLblPos val="nextTo"/>
        <c:crossAx val="105064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Main.xlsx]Pivot Tables!Gender Ratio</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Gender</a:t>
            </a:r>
            <a:r>
              <a:rPr lang="en-US" baseline="0">
                <a:solidFill>
                  <a:schemeClr val="bg1"/>
                </a:solidFill>
              </a:rPr>
              <a:t> Ratio</a:t>
            </a:r>
          </a:p>
        </c:rich>
      </c:tx>
      <c:layout>
        <c:manualLayout>
          <c:xMode val="edge"/>
          <c:yMode val="edge"/>
          <c:x val="2.5721279477299498E-2"/>
          <c:y val="3.06923511700401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70C0"/>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C000"/>
          </a:solidFill>
          <a:ln w="19050">
            <a:noFill/>
          </a:ln>
          <a:effectLst/>
        </c:spPr>
      </c:pivotFmt>
      <c:pivotFmt>
        <c:idx val="6"/>
        <c:spPr>
          <a:solidFill>
            <a:srgbClr val="0070C0"/>
          </a:solidFill>
          <a:ln w="19050">
            <a:noFill/>
          </a:ln>
          <a:effectLst/>
        </c:spPr>
      </c:pivotFmt>
    </c:pivotFmts>
    <c:plotArea>
      <c:layout>
        <c:manualLayout>
          <c:layoutTarget val="inner"/>
          <c:xMode val="edge"/>
          <c:yMode val="edge"/>
          <c:x val="0.14382481412937542"/>
          <c:y val="0.10389692971796766"/>
          <c:w val="0.74433000426394824"/>
          <c:h val="0.88046068546172085"/>
        </c:manualLayout>
      </c:layout>
      <c:pieChart>
        <c:varyColors val="1"/>
        <c:ser>
          <c:idx val="0"/>
          <c:order val="0"/>
          <c:tx>
            <c:strRef>
              <c:f>'Pivot Tables'!$O$3</c:f>
              <c:strCache>
                <c:ptCount val="1"/>
                <c:pt idx="0">
                  <c:v>Total</c:v>
                </c:pt>
              </c:strCache>
            </c:strRef>
          </c:tx>
          <c:spPr>
            <a:solidFill>
              <a:srgbClr val="0070C0"/>
            </a:solidFill>
            <a:ln>
              <a:noFill/>
            </a:ln>
          </c:spPr>
          <c:explosion val="1"/>
          <c:dPt>
            <c:idx val="0"/>
            <c:bubble3D val="0"/>
            <c:spPr>
              <a:solidFill>
                <a:srgbClr val="FFC000"/>
              </a:solidFill>
              <a:ln w="19050">
                <a:noFill/>
              </a:ln>
              <a:effectLst/>
            </c:spPr>
            <c:extLst>
              <c:ext xmlns:c16="http://schemas.microsoft.com/office/drawing/2014/chart" uri="{C3380CC4-5D6E-409C-BE32-E72D297353CC}">
                <c16:uniqueId val="{00000001-BFB5-4C35-8772-78E38148668E}"/>
              </c:ext>
            </c:extLst>
          </c:dPt>
          <c:dPt>
            <c:idx val="1"/>
            <c:bubble3D val="0"/>
            <c:spPr>
              <a:solidFill>
                <a:srgbClr val="0070C0"/>
              </a:solidFill>
              <a:ln w="19050">
                <a:noFill/>
              </a:ln>
              <a:effectLst/>
            </c:spPr>
            <c:extLst>
              <c:ext xmlns:c16="http://schemas.microsoft.com/office/drawing/2014/chart" uri="{C3380CC4-5D6E-409C-BE32-E72D297353CC}">
                <c16:uniqueId val="{00000003-BFB5-4C35-8772-78E38148668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Tables'!$N$4:$N$5</c:f>
              <c:strCache>
                <c:ptCount val="1"/>
                <c:pt idx="0">
                  <c:v>Female</c:v>
                </c:pt>
              </c:strCache>
            </c:strRef>
          </c:cat>
          <c:val>
            <c:numRef>
              <c:f>'Pivot Tables'!$O$4:$O$5</c:f>
              <c:numCache>
                <c:formatCode>General</c:formatCode>
                <c:ptCount val="1"/>
                <c:pt idx="0">
                  <c:v>1</c:v>
                </c:pt>
              </c:numCache>
            </c:numRef>
          </c:val>
          <c:extLst>
            <c:ext xmlns:c16="http://schemas.microsoft.com/office/drawing/2014/chart" uri="{C3380CC4-5D6E-409C-BE32-E72D297353CC}">
              <c16:uniqueId val="{00000004-BFB5-4C35-8772-78E38148668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Main.xlsx]Pivot Tables!ExpBucket</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Experience</a:t>
            </a:r>
            <a:r>
              <a:rPr lang="en-US" baseline="0">
                <a:solidFill>
                  <a:schemeClr val="bg1"/>
                </a:solidFill>
              </a:rPr>
              <a:t> vs Performance</a:t>
            </a:r>
            <a:endParaRPr lang="en-US">
              <a:solidFill>
                <a:schemeClr val="bg1"/>
              </a:solidFill>
            </a:endParaRPr>
          </a:p>
        </c:rich>
      </c:tx>
      <c:layout>
        <c:manualLayout>
          <c:xMode val="edge"/>
          <c:yMode val="edge"/>
          <c:x val="5.5895669291338573E-2"/>
          <c:y val="3.45381457842895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pivotFmt>
      <c:pivotFmt>
        <c:idx val="4"/>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6926946631671"/>
          <c:y val="0.15149294194634008"/>
          <c:w val="0.82986286089238848"/>
          <c:h val="0.79238257115418942"/>
        </c:manualLayout>
      </c:layout>
      <c:bar3DChart>
        <c:barDir val="bar"/>
        <c:grouping val="stacked"/>
        <c:varyColors val="0"/>
        <c:ser>
          <c:idx val="0"/>
          <c:order val="0"/>
          <c:tx>
            <c:strRef>
              <c:f>'Pivot Tables'!$R$3</c:f>
              <c:strCache>
                <c:ptCount val="1"/>
                <c:pt idx="0">
                  <c:v>Total</c:v>
                </c:pt>
              </c:strCache>
            </c:strRef>
          </c:tx>
          <c:spPr>
            <a:solidFill>
              <a:srgbClr val="0070C0"/>
            </a:solidFill>
            <a:ln>
              <a:noFill/>
            </a:ln>
            <a:effectLst/>
            <a:sp3d/>
          </c:spPr>
          <c:invertIfNegative val="0"/>
          <c:dPt>
            <c:idx val="0"/>
            <c:invertIfNegative val="0"/>
            <c:bubble3D val="0"/>
            <c:spPr>
              <a:solidFill>
                <a:srgbClr val="FFC000"/>
              </a:solidFill>
              <a:ln>
                <a:noFill/>
              </a:ln>
              <a:effectLst/>
              <a:sp3d/>
            </c:spPr>
            <c:extLst>
              <c:ext xmlns:c16="http://schemas.microsoft.com/office/drawing/2014/chart" uri="{C3380CC4-5D6E-409C-BE32-E72D297353CC}">
                <c16:uniqueId val="{00000001-D125-4579-B126-8C8C4C3FD552}"/>
              </c:ext>
            </c:extLst>
          </c:dPt>
          <c:dPt>
            <c:idx val="1"/>
            <c:invertIfNegative val="0"/>
            <c:bubble3D val="0"/>
            <c:extLst>
              <c:ext xmlns:c16="http://schemas.microsoft.com/office/drawing/2014/chart" uri="{C3380CC4-5D6E-409C-BE32-E72D297353CC}">
                <c16:uniqueId val="{00000002-E6C6-4831-B89E-9CC1841FA47B}"/>
              </c:ext>
            </c:extLst>
          </c:dPt>
          <c:cat>
            <c:strRef>
              <c:f>'Pivot Tables'!$Q$4:$Q$5</c:f>
              <c:strCache>
                <c:ptCount val="1"/>
                <c:pt idx="0">
                  <c:v>Mid Level</c:v>
                </c:pt>
              </c:strCache>
            </c:strRef>
          </c:cat>
          <c:val>
            <c:numRef>
              <c:f>'Pivot Tables'!$R$4:$R$5</c:f>
              <c:numCache>
                <c:formatCode>0.00%</c:formatCode>
                <c:ptCount val="1"/>
                <c:pt idx="0">
                  <c:v>1</c:v>
                </c:pt>
              </c:numCache>
            </c:numRef>
          </c:val>
          <c:extLst>
            <c:ext xmlns:c16="http://schemas.microsoft.com/office/drawing/2014/chart" uri="{C3380CC4-5D6E-409C-BE32-E72D297353CC}">
              <c16:uniqueId val="{00000000-E6C6-4831-B89E-9CC1841FA47B}"/>
            </c:ext>
          </c:extLst>
        </c:ser>
        <c:dLbls>
          <c:showLegendKey val="0"/>
          <c:showVal val="0"/>
          <c:showCatName val="0"/>
          <c:showSerName val="0"/>
          <c:showPercent val="0"/>
          <c:showBubbleSize val="0"/>
        </c:dLbls>
        <c:gapWidth val="150"/>
        <c:shape val="box"/>
        <c:axId val="1266320159"/>
        <c:axId val="1266314335"/>
        <c:axId val="0"/>
      </c:bar3DChart>
      <c:catAx>
        <c:axId val="12663201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314335"/>
        <c:crosses val="autoZero"/>
        <c:auto val="1"/>
        <c:lblAlgn val="ctr"/>
        <c:lblOffset val="100"/>
        <c:noMultiLvlLbl val="0"/>
      </c:catAx>
      <c:valAx>
        <c:axId val="1266314335"/>
        <c:scaling>
          <c:orientation val="minMax"/>
        </c:scaling>
        <c:delete val="1"/>
        <c:axPos val="b"/>
        <c:numFmt formatCode="0.00%" sourceLinked="1"/>
        <c:majorTickMark val="out"/>
        <c:minorTickMark val="none"/>
        <c:tickLblPos val="nextTo"/>
        <c:crossAx val="126632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Main.xlsx]Pivot Tables!PivotTable9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Male</a:t>
            </a:r>
            <a:r>
              <a:rPr lang="en-IN" baseline="0">
                <a:solidFill>
                  <a:schemeClr val="bg1"/>
                </a:solidFill>
              </a:rPr>
              <a:t> vs Female</a:t>
            </a:r>
            <a:endParaRPr lang="en-IN">
              <a:solidFill>
                <a:schemeClr val="bg1"/>
              </a:solidFill>
            </a:endParaRPr>
          </a:p>
        </c:rich>
      </c:tx>
      <c:layout>
        <c:manualLayout>
          <c:xMode val="edge"/>
          <c:yMode val="edge"/>
          <c:x val="3.048686056468901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Tables'!$U$3:$U$4</c:f>
              <c:strCache>
                <c:ptCount val="1"/>
                <c:pt idx="0">
                  <c:v>Female</c:v>
                </c:pt>
              </c:strCache>
            </c:strRef>
          </c:tx>
          <c:spPr>
            <a:solidFill>
              <a:srgbClr val="FFC000"/>
            </a:solidFill>
            <a:ln>
              <a:noFill/>
            </a:ln>
            <a:effectLst/>
            <a:sp3d/>
          </c:spPr>
          <c:invertIfNegative val="0"/>
          <c:cat>
            <c:strRef>
              <c:f>'Pivot Tables'!$T$5:$T$6</c:f>
              <c:strCache>
                <c:ptCount val="1"/>
                <c:pt idx="0">
                  <c:v>Executive</c:v>
                </c:pt>
              </c:strCache>
            </c:strRef>
          </c:cat>
          <c:val>
            <c:numRef>
              <c:f>'Pivot Tables'!$U$5:$U$6</c:f>
              <c:numCache>
                <c:formatCode>General</c:formatCode>
                <c:ptCount val="1"/>
                <c:pt idx="0">
                  <c:v>67000</c:v>
                </c:pt>
              </c:numCache>
            </c:numRef>
          </c:val>
          <c:extLst>
            <c:ext xmlns:c16="http://schemas.microsoft.com/office/drawing/2014/chart" uri="{C3380CC4-5D6E-409C-BE32-E72D297353CC}">
              <c16:uniqueId val="{00000000-CD6F-4198-810C-8431C1CD1548}"/>
            </c:ext>
          </c:extLst>
        </c:ser>
        <c:dLbls>
          <c:showLegendKey val="0"/>
          <c:showVal val="0"/>
          <c:showCatName val="0"/>
          <c:showSerName val="0"/>
          <c:showPercent val="0"/>
          <c:showBubbleSize val="0"/>
        </c:dLbls>
        <c:gapWidth val="150"/>
        <c:shape val="box"/>
        <c:axId val="1266305183"/>
        <c:axId val="1266303519"/>
        <c:axId val="0"/>
      </c:bar3DChart>
      <c:catAx>
        <c:axId val="1266305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303519"/>
        <c:crosses val="autoZero"/>
        <c:auto val="1"/>
        <c:lblAlgn val="ctr"/>
        <c:lblOffset val="100"/>
        <c:noMultiLvlLbl val="0"/>
      </c:catAx>
      <c:valAx>
        <c:axId val="1266303519"/>
        <c:scaling>
          <c:orientation val="minMax"/>
        </c:scaling>
        <c:delete val="1"/>
        <c:axPos val="l"/>
        <c:numFmt formatCode="General" sourceLinked="1"/>
        <c:majorTickMark val="none"/>
        <c:minorTickMark val="none"/>
        <c:tickLblPos val="nextTo"/>
        <c:crossAx val="126630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s://datasteroid.wordpress.com/" TargetMode="Externa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312420</xdr:colOff>
      <xdr:row>0</xdr:row>
      <xdr:rowOff>76201</xdr:rowOff>
    </xdr:from>
    <xdr:to>
      <xdr:col>23</xdr:col>
      <xdr:colOff>122214</xdr:colOff>
      <xdr:row>3</xdr:row>
      <xdr:rowOff>45721</xdr:rowOff>
    </xdr:to>
    <xdr:grpSp>
      <xdr:nvGrpSpPr>
        <xdr:cNvPr id="6" name="Group 5">
          <a:extLst>
            <a:ext uri="{FF2B5EF4-FFF2-40B4-BE49-F238E27FC236}">
              <a16:creationId xmlns:a16="http://schemas.microsoft.com/office/drawing/2014/main" id="{E532F044-A6E9-4895-933D-0EB72688D80E}"/>
            </a:ext>
          </a:extLst>
        </xdr:cNvPr>
        <xdr:cNvGrpSpPr/>
      </xdr:nvGrpSpPr>
      <xdr:grpSpPr>
        <a:xfrm>
          <a:off x="15864840" y="76201"/>
          <a:ext cx="2857794" cy="662940"/>
          <a:chOff x="10633711" y="51874"/>
          <a:chExt cx="3478823" cy="821813"/>
        </a:xfrm>
      </xdr:grpSpPr>
      <xdr:sp macro="" textlink="">
        <xdr:nvSpPr>
          <xdr:cNvPr id="7" name="Rectangle: Rounded Corners 6">
            <a:extLst>
              <a:ext uri="{FF2B5EF4-FFF2-40B4-BE49-F238E27FC236}">
                <a16:creationId xmlns:a16="http://schemas.microsoft.com/office/drawing/2014/main" id="{13B6C124-7F47-470D-B050-93BF3EBF5C1C}"/>
              </a:ext>
            </a:extLst>
          </xdr:cNvPr>
          <xdr:cNvSpPr/>
        </xdr:nvSpPr>
        <xdr:spPr>
          <a:xfrm>
            <a:off x="10633711" y="52460"/>
            <a:ext cx="3478823" cy="728003"/>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pic>
        <xdr:nvPicPr>
          <xdr:cNvPr id="8" name="Picture 7">
            <a:extLst>
              <a:ext uri="{FF2B5EF4-FFF2-40B4-BE49-F238E27FC236}">
                <a16:creationId xmlns:a16="http://schemas.microsoft.com/office/drawing/2014/main" id="{CA3B0CED-8039-481E-8EAE-1C26B2BCFAD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493" t="26900" r="-2592" b="43800"/>
          <a:stretch/>
        </xdr:blipFill>
        <xdr:spPr>
          <a:xfrm>
            <a:off x="11543421" y="51874"/>
            <a:ext cx="2555338" cy="739807"/>
          </a:xfrm>
          <a:prstGeom prst="rect">
            <a:avLst/>
          </a:prstGeom>
        </xdr:spPr>
      </xdr:pic>
      <xdr:pic>
        <xdr:nvPicPr>
          <xdr:cNvPr id="9" name="Picture 8">
            <a:extLst>
              <a:ext uri="{FF2B5EF4-FFF2-40B4-BE49-F238E27FC236}">
                <a16:creationId xmlns:a16="http://schemas.microsoft.com/office/drawing/2014/main" id="{C249E604-3944-45CF-832A-43D92B8EF4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782665" y="65967"/>
            <a:ext cx="809185" cy="80772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243840</xdr:colOff>
      <xdr:row>0</xdr:row>
      <xdr:rowOff>259081</xdr:rowOff>
    </xdr:from>
    <xdr:to>
      <xdr:col>9</xdr:col>
      <xdr:colOff>419394</xdr:colOff>
      <xdr:row>2</xdr:row>
      <xdr:rowOff>1</xdr:rowOff>
    </xdr:to>
    <xdr:grpSp>
      <xdr:nvGrpSpPr>
        <xdr:cNvPr id="6" name="Group 5">
          <a:hlinkClick xmlns:r="http://schemas.openxmlformats.org/officeDocument/2006/relationships" r:id="rId1"/>
          <a:extLst>
            <a:ext uri="{FF2B5EF4-FFF2-40B4-BE49-F238E27FC236}">
              <a16:creationId xmlns:a16="http://schemas.microsoft.com/office/drawing/2014/main" id="{FC4D0A57-769D-4FA9-A12D-3DC38055AACD}"/>
            </a:ext>
          </a:extLst>
        </xdr:cNvPr>
        <xdr:cNvGrpSpPr/>
      </xdr:nvGrpSpPr>
      <xdr:grpSpPr>
        <a:xfrm>
          <a:off x="11292840" y="259081"/>
          <a:ext cx="2613954" cy="701040"/>
          <a:chOff x="11498580" y="45720"/>
          <a:chExt cx="2613954" cy="745961"/>
        </a:xfrm>
      </xdr:grpSpPr>
      <xdr:sp macro="" textlink="">
        <xdr:nvSpPr>
          <xdr:cNvPr id="7" name="Rectangle: Rounded Corners 6">
            <a:extLst>
              <a:ext uri="{FF2B5EF4-FFF2-40B4-BE49-F238E27FC236}">
                <a16:creationId xmlns:a16="http://schemas.microsoft.com/office/drawing/2014/main" id="{BED58A3E-D510-4B20-B052-7F861CFCA27C}"/>
              </a:ext>
            </a:extLst>
          </xdr:cNvPr>
          <xdr:cNvSpPr/>
        </xdr:nvSpPr>
        <xdr:spPr>
          <a:xfrm>
            <a:off x="11498580" y="45720"/>
            <a:ext cx="2613954" cy="734743"/>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pic>
        <xdr:nvPicPr>
          <xdr:cNvPr id="8" name="Picture 7">
            <a:extLst>
              <a:ext uri="{FF2B5EF4-FFF2-40B4-BE49-F238E27FC236}">
                <a16:creationId xmlns:a16="http://schemas.microsoft.com/office/drawing/2014/main" id="{AB40722A-8E28-4F93-A9D0-6943D6158CE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493" t="26900" r="-2592" b="43800"/>
          <a:stretch/>
        </xdr:blipFill>
        <xdr:spPr>
          <a:xfrm>
            <a:off x="11612879" y="51874"/>
            <a:ext cx="2485879" cy="739807"/>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44301</xdr:colOff>
      <xdr:row>0</xdr:row>
      <xdr:rowOff>124048</xdr:rowOff>
    </xdr:from>
    <xdr:to>
      <xdr:col>9</xdr:col>
      <xdr:colOff>336697</xdr:colOff>
      <xdr:row>13</xdr:row>
      <xdr:rowOff>8861</xdr:rowOff>
    </xdr:to>
    <xdr:graphicFrame macro="">
      <xdr:nvGraphicFramePr>
        <xdr:cNvPr id="2" name="Chart 1">
          <a:extLst>
            <a:ext uri="{FF2B5EF4-FFF2-40B4-BE49-F238E27FC236}">
              <a16:creationId xmlns:a16="http://schemas.microsoft.com/office/drawing/2014/main" id="{E616900F-A252-49ED-B2E0-B7A88BE1F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531627</xdr:colOff>
      <xdr:row>0</xdr:row>
      <xdr:rowOff>97465</xdr:rowOff>
    </xdr:from>
    <xdr:to>
      <xdr:col>17</xdr:col>
      <xdr:colOff>540488</xdr:colOff>
      <xdr:row>13</xdr:row>
      <xdr:rowOff>8861</xdr:rowOff>
    </xdr:to>
    <xdr:graphicFrame macro="">
      <xdr:nvGraphicFramePr>
        <xdr:cNvPr id="3" name="Chart 2">
          <a:extLst>
            <a:ext uri="{FF2B5EF4-FFF2-40B4-BE49-F238E27FC236}">
              <a16:creationId xmlns:a16="http://schemas.microsoft.com/office/drawing/2014/main" id="{5967B97F-F6FB-4507-944B-44A4B8BBB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70883</xdr:colOff>
      <xdr:row>14</xdr:row>
      <xdr:rowOff>70882</xdr:rowOff>
    </xdr:from>
    <xdr:to>
      <xdr:col>5</xdr:col>
      <xdr:colOff>407582</xdr:colOff>
      <xdr:row>22</xdr:row>
      <xdr:rowOff>203791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D0B7CBCE-5E3E-4967-8500-CF6C4D5B446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685953" y="3172045"/>
              <a:ext cx="948071" cy="1905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88604</xdr:colOff>
      <xdr:row>14</xdr:row>
      <xdr:rowOff>44303</xdr:rowOff>
    </xdr:from>
    <xdr:to>
      <xdr:col>4</xdr:col>
      <xdr:colOff>8860</xdr:colOff>
      <xdr:row>27</xdr:row>
      <xdr:rowOff>30348</xdr:rowOff>
    </xdr:to>
    <mc:AlternateContent xmlns:mc="http://schemas.openxmlformats.org/markup-compatibility/2006" xmlns:a14="http://schemas.microsoft.com/office/drawing/2010/main">
      <mc:Choice Requires="a14">
        <xdr:graphicFrame macro="">
          <xdr:nvGraphicFramePr>
            <xdr:cNvPr id="5" name="Emp ID">
              <a:extLst>
                <a:ext uri="{FF2B5EF4-FFF2-40B4-BE49-F238E27FC236}">
                  <a16:creationId xmlns:a16="http://schemas.microsoft.com/office/drawing/2014/main" id="{0035CF82-9F03-4AA8-BC04-F5835851E45A}"/>
                </a:ext>
              </a:extLst>
            </xdr:cNvPr>
            <xdr:cNvGraphicFramePr/>
          </xdr:nvGraphicFramePr>
          <xdr:xfrm>
            <a:off x="0" y="0"/>
            <a:ext cx="0" cy="0"/>
          </xdr:xfrm>
          <a:graphic>
            <a:graphicData uri="http://schemas.microsoft.com/office/drawing/2010/slicer">
              <sle:slicer xmlns:sle="http://schemas.microsoft.com/office/drawing/2010/slicer" name="Emp ID"/>
            </a:graphicData>
          </a:graphic>
        </xdr:graphicFrame>
      </mc:Choice>
      <mc:Fallback xmlns="">
        <xdr:sp macro="" textlink="">
          <xdr:nvSpPr>
            <xdr:cNvPr id="0" name=""/>
            <xdr:cNvSpPr>
              <a:spLocks noTextEdit="1"/>
            </xdr:cNvSpPr>
          </xdr:nvSpPr>
          <xdr:spPr>
            <a:xfrm>
              <a:off x="2480930" y="3145466"/>
              <a:ext cx="1143000" cy="2865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62024</xdr:colOff>
      <xdr:row>0</xdr:row>
      <xdr:rowOff>97465</xdr:rowOff>
    </xdr:from>
    <xdr:to>
      <xdr:col>24</xdr:col>
      <xdr:colOff>584790</xdr:colOff>
      <xdr:row>12</xdr:row>
      <xdr:rowOff>203791</xdr:rowOff>
    </xdr:to>
    <xdr:graphicFrame macro="">
      <xdr:nvGraphicFramePr>
        <xdr:cNvPr id="6" name="Chart 5">
          <a:extLst>
            <a:ext uri="{FF2B5EF4-FFF2-40B4-BE49-F238E27FC236}">
              <a16:creationId xmlns:a16="http://schemas.microsoft.com/office/drawing/2014/main" id="{929790FE-B2C0-44E8-9AE4-CDD2E540C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522770</xdr:colOff>
      <xdr:row>13</xdr:row>
      <xdr:rowOff>97467</xdr:rowOff>
    </xdr:from>
    <xdr:to>
      <xdr:col>11</xdr:col>
      <xdr:colOff>283535</xdr:colOff>
      <xdr:row>27</xdr:row>
      <xdr:rowOff>2</xdr:rowOff>
    </xdr:to>
    <xdr:graphicFrame macro="">
      <xdr:nvGraphicFramePr>
        <xdr:cNvPr id="7" name="Chart 6">
          <a:extLst>
            <a:ext uri="{FF2B5EF4-FFF2-40B4-BE49-F238E27FC236}">
              <a16:creationId xmlns:a16="http://schemas.microsoft.com/office/drawing/2014/main" id="{6AEFA0C6-AFCA-44F5-8036-3BD9C68EE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425302</xdr:colOff>
      <xdr:row>13</xdr:row>
      <xdr:rowOff>106325</xdr:rowOff>
    </xdr:from>
    <xdr:to>
      <xdr:col>18</xdr:col>
      <xdr:colOff>132907</xdr:colOff>
      <xdr:row>27</xdr:row>
      <xdr:rowOff>8860</xdr:rowOff>
    </xdr:to>
    <xdr:graphicFrame macro="">
      <xdr:nvGraphicFramePr>
        <xdr:cNvPr id="8" name="Chart 7">
          <a:extLst>
            <a:ext uri="{FF2B5EF4-FFF2-40B4-BE49-F238E27FC236}">
              <a16:creationId xmlns:a16="http://schemas.microsoft.com/office/drawing/2014/main" id="{911899B5-D2E9-45E3-A727-BA23C70C7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283535</xdr:colOff>
      <xdr:row>13</xdr:row>
      <xdr:rowOff>168348</xdr:rowOff>
    </xdr:from>
    <xdr:to>
      <xdr:col>24</xdr:col>
      <xdr:colOff>567070</xdr:colOff>
      <xdr:row>26</xdr:row>
      <xdr:rowOff>194930</xdr:rowOff>
    </xdr:to>
    <xdr:graphicFrame macro="">
      <xdr:nvGraphicFramePr>
        <xdr:cNvPr id="9" name="Chart 8">
          <a:extLst>
            <a:ext uri="{FF2B5EF4-FFF2-40B4-BE49-F238E27FC236}">
              <a16:creationId xmlns:a16="http://schemas.microsoft.com/office/drawing/2014/main" id="{4E5F354C-E21E-4F42-9D94-836E840BE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zal Chouhan" refreshedDate="45837.525140972219" createdVersion="7" refreshedVersion="7" minRefreshableVersion="3" recordCount="10" xr:uid="{CEB49512-9237-4FFE-8B8B-98765837B914}">
  <cacheSource type="worksheet">
    <worksheetSource name="Table2"/>
  </cacheSource>
  <cacheFields count="13">
    <cacheField name="Emp ID" numFmtId="0">
      <sharedItems count="10">
        <s v="E101"/>
        <s v="E102"/>
        <s v="E103"/>
        <s v="E104"/>
        <s v="E105"/>
        <s v="E106"/>
        <s v="E107"/>
        <s v="E108"/>
        <s v="E109"/>
        <s v="E110"/>
      </sharedItems>
    </cacheField>
    <cacheField name="Name" numFmtId="0">
      <sharedItems/>
    </cacheField>
    <cacheField name="Gender" numFmtId="0">
      <sharedItems count="2">
        <s v="Male"/>
        <s v="Female"/>
      </sharedItems>
    </cacheField>
    <cacheField name="Department" numFmtId="0">
      <sharedItems count="6">
        <s v="Finance"/>
        <s v="IT"/>
        <s v="HR"/>
        <s v="Marketing"/>
        <s v="Sales"/>
        <s v="Operations"/>
      </sharedItems>
    </cacheField>
    <cacheField name="Location" numFmtId="0">
      <sharedItems/>
    </cacheField>
    <cacheField name="Role" numFmtId="0">
      <sharedItems count="4">
        <s v="Analyst"/>
        <s v="Executive"/>
        <s v="Consultant"/>
        <s v="Manager"/>
      </sharedItems>
    </cacheField>
    <cacheField name="Experience (Years)" numFmtId="0">
      <sharedItems containsSemiMixedTypes="0" containsString="0" containsNumber="1" containsInteger="1" minValue="2" maxValue="11"/>
    </cacheField>
    <cacheField name="Annual Salary " numFmtId="165">
      <sharedItems containsSemiMixedTypes="0" containsString="0" containsNumber="1" containsInteger="1" minValue="59000" maxValue="112000"/>
    </cacheField>
    <cacheField name="Target " numFmtId="165">
      <sharedItems containsSemiMixedTypes="0" containsString="0" containsNumber="1" containsInteger="1" minValue="90000" maxValue="200000"/>
    </cacheField>
    <cacheField name="Achieved" numFmtId="165">
      <sharedItems containsSemiMixedTypes="0" containsString="0" containsNumber="1" containsInteger="1" minValue="85000" maxValue="210000"/>
    </cacheField>
    <cacheField name="Achievement" numFmtId="10">
      <sharedItems containsSemiMixedTypes="0" containsString="0" containsNumber="1" minValue="0.8571428571428571" maxValue="1.1000000000000001"/>
    </cacheField>
    <cacheField name="Rank" numFmtId="0">
      <sharedItems containsSemiMixedTypes="0" containsString="0" containsNumber="1" containsInteger="1" minValue="1" maxValue="10"/>
    </cacheField>
    <cacheField name="Experience Bucket" numFmtId="165">
      <sharedItems count="3">
        <s v="Mid Level"/>
        <s v="Junior"/>
        <s v="Senior"/>
      </sharedItems>
    </cacheField>
  </cacheFields>
  <extLst>
    <ext xmlns:x14="http://schemas.microsoft.com/office/spreadsheetml/2009/9/main" uri="{725AE2AE-9491-48be-B2B4-4EB974FC3084}">
      <x14:pivotCacheDefinition pivotCacheId="1047257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James Anderson"/>
    <x v="0"/>
    <x v="0"/>
    <s v="New York"/>
    <x v="0"/>
    <n v="7"/>
    <n v="92000"/>
    <n v="180000"/>
    <n v="175000"/>
    <n v="0.97222222222222221"/>
    <n v="6"/>
    <x v="0"/>
  </r>
  <r>
    <x v="1"/>
    <s v="Olivia Martin"/>
    <x v="1"/>
    <x v="1"/>
    <s v="Chicago"/>
    <x v="1"/>
    <n v="3"/>
    <n v="62000"/>
    <n v="100000"/>
    <n v="110000"/>
    <n v="1.1000000000000001"/>
    <n v="1"/>
    <x v="1"/>
  </r>
  <r>
    <x v="2"/>
    <s v="William Scott"/>
    <x v="0"/>
    <x v="2"/>
    <s v="Houston"/>
    <x v="2"/>
    <n v="10"/>
    <n v="78000"/>
    <n v="140000"/>
    <n v="120000"/>
    <n v="0.8571428571428571"/>
    <n v="10"/>
    <x v="2"/>
  </r>
  <r>
    <x v="3"/>
    <s v="Ava Thompson"/>
    <x v="1"/>
    <x v="3"/>
    <s v="Phoenix"/>
    <x v="3"/>
    <n v="5"/>
    <n v="105000"/>
    <n v="150000"/>
    <n v="145000"/>
    <n v="0.96666666666666667"/>
    <n v="7"/>
    <x v="0"/>
  </r>
  <r>
    <x v="4"/>
    <s v="Benjamin Carter"/>
    <x v="0"/>
    <x v="4"/>
    <s v="Los Angeles"/>
    <x v="3"/>
    <n v="8"/>
    <n v="112000"/>
    <n v="200000"/>
    <n v="210000"/>
    <n v="1.05"/>
    <n v="2"/>
    <x v="2"/>
  </r>
  <r>
    <x v="5"/>
    <s v="Emily White"/>
    <x v="1"/>
    <x v="5"/>
    <s v="New York"/>
    <x v="1"/>
    <n v="4"/>
    <n v="67000"/>
    <n v="100000"/>
    <n v="90000"/>
    <n v="0.9"/>
    <n v="9"/>
    <x v="0"/>
  </r>
  <r>
    <x v="6"/>
    <s v="Lucas Hernandez"/>
    <x v="0"/>
    <x v="0"/>
    <s v="Chicago"/>
    <x v="0"/>
    <n v="9"/>
    <n v="88000"/>
    <n v="160000"/>
    <n v="158000"/>
    <n v="0.98750000000000004"/>
    <n v="4"/>
    <x v="2"/>
  </r>
  <r>
    <x v="7"/>
    <s v="Sophia Lewis"/>
    <x v="1"/>
    <x v="2"/>
    <s v="Houston"/>
    <x v="2"/>
    <n v="6"/>
    <n v="74000"/>
    <n v="120000"/>
    <n v="120000"/>
    <n v="1"/>
    <n v="3"/>
    <x v="0"/>
  </r>
  <r>
    <x v="8"/>
    <s v="Masoni Walker"/>
    <x v="1"/>
    <x v="1"/>
    <s v="Phoenix"/>
    <x v="1"/>
    <n v="2"/>
    <n v="59000"/>
    <n v="90000"/>
    <n v="85000"/>
    <n v="0.94444444444444442"/>
    <n v="8"/>
    <x v="1"/>
  </r>
  <r>
    <x v="9"/>
    <s v="Isabella Hall"/>
    <x v="1"/>
    <x v="4"/>
    <s v="Los Angeles"/>
    <x v="0"/>
    <n v="11"/>
    <n v="99000"/>
    <n v="190000"/>
    <n v="185000"/>
    <n v="0.97368421052631582"/>
    <n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F54AB9-7960-4BCE-A469-F3EA62507082}" name="Gender Ratio"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N3:O5" firstHeaderRow="1" firstDataRow="1" firstDataCol="1"/>
  <pivotFields count="13">
    <pivotField dataField="1" showAll="0">
      <items count="11">
        <item h="1" x="0"/>
        <item h="1" x="1"/>
        <item h="1" x="2"/>
        <item h="1" x="3"/>
        <item h="1" x="4"/>
        <item x="5"/>
        <item h="1" x="6"/>
        <item h="1" x="7"/>
        <item h="1" x="8"/>
        <item h="1" x="9"/>
        <item t="default"/>
      </items>
    </pivotField>
    <pivotField showAll="0"/>
    <pivotField axis="axisRow" showAll="0">
      <items count="3">
        <item x="1"/>
        <item x="0"/>
        <item t="default"/>
      </items>
    </pivotField>
    <pivotField showAll="0" sortType="ascending">
      <items count="7">
        <item x="0"/>
        <item x="2"/>
        <item x="1"/>
        <item x="3"/>
        <item x="5"/>
        <item x="4"/>
        <item t="default"/>
      </items>
    </pivotField>
    <pivotField showAll="0"/>
    <pivotField showAll="0"/>
    <pivotField showAll="0"/>
    <pivotField numFmtId="165" showAll="0"/>
    <pivotField numFmtId="165" showAll="0"/>
    <pivotField numFmtId="165" showAll="0"/>
    <pivotField numFmtId="10" showAll="0"/>
    <pivotField showAll="0"/>
    <pivotField showAll="0"/>
  </pivotFields>
  <rowFields count="1">
    <field x="2"/>
  </rowFields>
  <rowItems count="2">
    <i>
      <x/>
    </i>
    <i t="grand">
      <x/>
    </i>
  </rowItems>
  <colItems count="1">
    <i/>
  </colItems>
  <dataFields count="1">
    <dataField name="Count of Emp ID" fld="0"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129CC2-BB2F-4422-A977-E2FF08FA9F3F}" name="Emp Detail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I3:I5" firstHeaderRow="1" firstDataRow="1" firstDataCol="1"/>
  <pivotFields count="13">
    <pivotField axis="axisRow" showAll="0">
      <items count="11">
        <item h="1" x="0"/>
        <item h="1" x="1"/>
        <item h="1" x="2"/>
        <item h="1" x="3"/>
        <item h="1" x="4"/>
        <item x="5"/>
        <item h="1" x="6"/>
        <item h="1" x="7"/>
        <item h="1" x="8"/>
        <item h="1" x="9"/>
        <item t="default"/>
      </items>
    </pivotField>
    <pivotField showAll="0"/>
    <pivotField showAll="0"/>
    <pivotField showAll="0" sortType="ascending">
      <items count="7">
        <item x="0"/>
        <item x="2"/>
        <item x="1"/>
        <item x="3"/>
        <item x="5"/>
        <item x="4"/>
        <item t="default"/>
      </items>
    </pivotField>
    <pivotField showAll="0"/>
    <pivotField showAll="0"/>
    <pivotField showAll="0"/>
    <pivotField numFmtId="165" showAll="0"/>
    <pivotField numFmtId="165" showAll="0"/>
    <pivotField numFmtId="165" showAll="0"/>
    <pivotField numFmtId="10" showAll="0"/>
    <pivotField showAll="0"/>
    <pivotField showAll="0"/>
  </pivotFields>
  <rowFields count="1">
    <field x="0"/>
  </rowFields>
  <rowItems count="2">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07870A-D98D-4240-9FC7-FF23835B6CD1}" name="Target vs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E3:G5" firstHeaderRow="0" firstDataRow="1" firstDataCol="1"/>
  <pivotFields count="13">
    <pivotField showAll="0">
      <items count="11">
        <item h="1" x="0"/>
        <item h="1" x="1"/>
        <item h="1" x="2"/>
        <item h="1" x="3"/>
        <item h="1" x="4"/>
        <item x="5"/>
        <item h="1" x="6"/>
        <item h="1" x="7"/>
        <item h="1" x="8"/>
        <item h="1" x="9"/>
        <item t="default"/>
      </items>
    </pivotField>
    <pivotField showAll="0"/>
    <pivotField showAll="0"/>
    <pivotField axis="axisRow" showAll="0" sortType="ascending">
      <items count="7">
        <item x="0"/>
        <item x="2"/>
        <item x="1"/>
        <item x="3"/>
        <item x="5"/>
        <item x="4"/>
        <item t="default"/>
      </items>
    </pivotField>
    <pivotField showAll="0"/>
    <pivotField showAll="0"/>
    <pivotField showAll="0"/>
    <pivotField numFmtId="165" showAll="0"/>
    <pivotField dataField="1" numFmtId="165" showAll="0"/>
    <pivotField dataField="1" numFmtId="165" showAll="0"/>
    <pivotField numFmtId="10" showAll="0"/>
    <pivotField showAll="0"/>
    <pivotField showAll="0"/>
  </pivotFields>
  <rowFields count="1">
    <field x="3"/>
  </rowFields>
  <rowItems count="2">
    <i>
      <x v="4"/>
    </i>
    <i t="grand">
      <x/>
    </i>
  </rowItems>
  <colFields count="1">
    <field x="-2"/>
  </colFields>
  <colItems count="2">
    <i>
      <x/>
    </i>
    <i i="1">
      <x v="1"/>
    </i>
  </colItems>
  <dataFields count="2">
    <dataField name="Target" fld="8" baseField="3" baseItem="0"/>
    <dataField name="Achieveds" fld="9" baseField="3"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3711A3-9F1B-4F5A-A017-C0727EA242D6}"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T3:V6" firstHeaderRow="1" firstDataRow="2" firstDataCol="1"/>
  <pivotFields count="13">
    <pivotField showAll="0">
      <items count="11">
        <item h="1" x="0"/>
        <item h="1" x="1"/>
        <item h="1" x="2"/>
        <item h="1" x="3"/>
        <item h="1" x="4"/>
        <item x="5"/>
        <item h="1" x="6"/>
        <item h="1" x="7"/>
        <item h="1" x="8"/>
        <item h="1" x="9"/>
        <item t="default"/>
      </items>
    </pivotField>
    <pivotField showAll="0"/>
    <pivotField axis="axisCol" showAll="0">
      <items count="3">
        <item x="1"/>
        <item x="0"/>
        <item t="default"/>
      </items>
    </pivotField>
    <pivotField showAll="0" sortType="ascending">
      <items count="7">
        <item x="0"/>
        <item x="2"/>
        <item x="1"/>
        <item x="3"/>
        <item x="5"/>
        <item x="4"/>
        <item t="default"/>
      </items>
    </pivotField>
    <pivotField showAll="0"/>
    <pivotField axis="axisRow" showAll="0">
      <items count="5">
        <item x="0"/>
        <item x="2"/>
        <item x="1"/>
        <item x="3"/>
        <item t="default"/>
      </items>
    </pivotField>
    <pivotField showAll="0"/>
    <pivotField dataField="1" numFmtId="165" showAll="0"/>
    <pivotField numFmtId="165" showAll="0"/>
    <pivotField numFmtId="165" showAll="0"/>
    <pivotField numFmtId="10" showAll="0"/>
    <pivotField showAll="0"/>
    <pivotField showAll="0">
      <items count="4">
        <item x="1"/>
        <item x="0"/>
        <item x="2"/>
        <item t="default"/>
      </items>
    </pivotField>
  </pivotFields>
  <rowFields count="1">
    <field x="5"/>
  </rowFields>
  <rowItems count="2">
    <i>
      <x v="2"/>
    </i>
    <i t="grand">
      <x/>
    </i>
  </rowItems>
  <colFields count="1">
    <field x="2"/>
  </colFields>
  <colItems count="2">
    <i>
      <x/>
    </i>
    <i t="grand">
      <x/>
    </i>
  </colItems>
  <dataFields count="1">
    <dataField name="Sum of Annual Salary " fld="7" baseField="0" baseItem="0"/>
  </dataFields>
  <chartFormats count="9">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6" format="2" series="1">
      <pivotArea type="data" outline="0" fieldPosition="0">
        <references count="2">
          <reference field="4294967294" count="1" selected="0">
            <x v="0"/>
          </reference>
          <reference field="2" count="1" selected="0">
            <x v="0"/>
          </reference>
        </references>
      </pivotArea>
    </chartFormat>
    <chartFormat chart="16" format="3" series="1">
      <pivotArea type="data" outline="0" fieldPosition="0">
        <references count="2">
          <reference field="4294967294" count="1" selected="0">
            <x v="0"/>
          </reference>
          <reference field="2" count="1" selected="0">
            <x v="1"/>
          </reference>
        </references>
      </pivotArea>
    </chartFormat>
    <chartFormat chart="17" format="4" series="1">
      <pivotArea type="data" outline="0" fieldPosition="0">
        <references count="2">
          <reference field="4294967294" count="1" selected="0">
            <x v="0"/>
          </reference>
          <reference field="2" count="1" selected="0">
            <x v="0"/>
          </reference>
        </references>
      </pivotArea>
    </chartFormat>
    <chartFormat chart="17" format="5" series="1">
      <pivotArea type="data" outline="0" fieldPosition="0">
        <references count="2">
          <reference field="4294967294" count="1" selected="0">
            <x v="0"/>
          </reference>
          <reference field="2" count="1" selected="0">
            <x v="1"/>
          </reference>
        </references>
      </pivotArea>
    </chartFormat>
    <chartFormat chart="17" format="6"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FBBE41-49C4-4F23-BDBF-1C98BD4F0542}" name="Annual Salary Dep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13">
    <pivotField showAll="0">
      <items count="11">
        <item h="1" x="0"/>
        <item h="1" x="1"/>
        <item h="1" x="2"/>
        <item h="1" x="3"/>
        <item h="1" x="4"/>
        <item x="5"/>
        <item h="1" x="6"/>
        <item h="1" x="7"/>
        <item h="1" x="8"/>
        <item h="1" x="9"/>
        <item t="default"/>
      </items>
    </pivotField>
    <pivotField showAll="0"/>
    <pivotField showAll="0"/>
    <pivotField axis="axisRow" showAll="0" sortType="ascending">
      <items count="7">
        <item x="0"/>
        <item x="2"/>
        <item x="1"/>
        <item x="3"/>
        <item x="5"/>
        <item x="4"/>
        <item t="default"/>
      </items>
    </pivotField>
    <pivotField showAll="0"/>
    <pivotField showAll="0"/>
    <pivotField showAll="0"/>
    <pivotField dataField="1" numFmtId="165" showAll="0"/>
    <pivotField numFmtId="165" showAll="0"/>
    <pivotField numFmtId="165" showAll="0"/>
    <pivotField numFmtId="10" showAll="0"/>
    <pivotField showAll="0"/>
    <pivotField showAll="0"/>
  </pivotFields>
  <rowFields count="1">
    <field x="3"/>
  </rowFields>
  <rowItems count="2">
    <i>
      <x v="4"/>
    </i>
    <i t="grand">
      <x/>
    </i>
  </rowItems>
  <colItems count="1">
    <i/>
  </colItems>
  <dataFields count="1">
    <dataField name="Average of Annual Salary " fld="7"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923A23-1C01-4B47-A715-F3237CC9FC8E}" name="ExpBucke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Q3:R5" firstHeaderRow="1" firstDataRow="1" firstDataCol="1"/>
  <pivotFields count="13">
    <pivotField showAll="0">
      <items count="11">
        <item h="1" x="0"/>
        <item h="1" x="1"/>
        <item h="1" x="2"/>
        <item h="1" x="3"/>
        <item h="1" x="4"/>
        <item x="5"/>
        <item h="1" x="6"/>
        <item h="1" x="7"/>
        <item h="1" x="8"/>
        <item h="1" x="9"/>
        <item t="default"/>
      </items>
    </pivotField>
    <pivotField showAll="0"/>
    <pivotField showAll="0">
      <items count="3">
        <item x="1"/>
        <item x="0"/>
        <item t="default"/>
      </items>
    </pivotField>
    <pivotField showAll="0" sortType="ascending">
      <items count="7">
        <item x="0"/>
        <item x="2"/>
        <item x="1"/>
        <item x="3"/>
        <item x="5"/>
        <item x="4"/>
        <item t="default"/>
      </items>
    </pivotField>
    <pivotField showAll="0"/>
    <pivotField showAll="0"/>
    <pivotField showAll="0"/>
    <pivotField numFmtId="165" showAll="0"/>
    <pivotField numFmtId="165" showAll="0"/>
    <pivotField numFmtId="165" showAll="0"/>
    <pivotField dataField="1" numFmtId="10" showAll="0"/>
    <pivotField showAll="0"/>
    <pivotField axis="axisRow" showAll="0">
      <items count="4">
        <item x="1"/>
        <item x="0"/>
        <item x="2"/>
        <item t="default"/>
      </items>
    </pivotField>
  </pivotFields>
  <rowFields count="1">
    <field x="12"/>
  </rowFields>
  <rowItems count="2">
    <i>
      <x v="1"/>
    </i>
    <i t="grand">
      <x/>
    </i>
  </rowItems>
  <colItems count="1">
    <i/>
  </colItems>
  <dataFields count="1">
    <dataField name="Sum of Achievement" fld="10" showDataAs="percentOfTotal" baseField="0" baseItem="0" numFmtId="10"/>
  </dataFields>
  <chartFormats count="3">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2" count="1" selected="0">
            <x v="1"/>
          </reference>
        </references>
      </pivotArea>
    </chartFormat>
    <chartFormat chart="14"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B47938-5572-4901-988B-4B54D1E87A0B}" name="Role Ac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K3:L5" firstHeaderRow="1" firstDataRow="1" firstDataCol="1"/>
  <pivotFields count="13">
    <pivotField showAll="0">
      <items count="11">
        <item h="1" x="0"/>
        <item h="1" x="1"/>
        <item h="1" x="2"/>
        <item h="1" x="3"/>
        <item h="1" x="4"/>
        <item x="5"/>
        <item h="1" x="6"/>
        <item h="1" x="7"/>
        <item h="1" x="8"/>
        <item h="1" x="9"/>
        <item t="default"/>
      </items>
    </pivotField>
    <pivotField showAll="0"/>
    <pivotField showAll="0"/>
    <pivotField showAll="0" sortType="ascending">
      <items count="7">
        <item x="0"/>
        <item x="2"/>
        <item x="1"/>
        <item x="3"/>
        <item x="5"/>
        <item x="4"/>
        <item t="default"/>
      </items>
    </pivotField>
    <pivotField showAll="0"/>
    <pivotField axis="axisRow" showAll="0">
      <items count="5">
        <item x="0"/>
        <item x="2"/>
        <item x="1"/>
        <item x="3"/>
        <item t="default"/>
      </items>
    </pivotField>
    <pivotField showAll="0"/>
    <pivotField numFmtId="165" showAll="0"/>
    <pivotField numFmtId="165" showAll="0"/>
    <pivotField numFmtId="165" showAll="0"/>
    <pivotField dataField="1" numFmtId="10" showAll="0"/>
    <pivotField showAll="0"/>
    <pivotField showAll="0"/>
  </pivotFields>
  <rowFields count="1">
    <field x="5"/>
  </rowFields>
  <rowItems count="2">
    <i>
      <x v="2"/>
    </i>
    <i t="grand">
      <x/>
    </i>
  </rowItems>
  <colItems count="1">
    <i/>
  </colItems>
  <dataFields count="1">
    <dataField name="Sum of Achievement" fld="10" showDataAs="percentOfTotal" baseField="0" baseItem="0" numFmtId="1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BEE062D-9F56-423D-A69C-8CF6EBC5567F}" sourceName="Department">
  <pivotTables>
    <pivotTable tabId="6" name="Annual Salary Dept"/>
    <pivotTable tabId="6" name="Target vs Sales"/>
    <pivotTable tabId="6" name="Emp Details"/>
    <pivotTable tabId="6" name="Role Ach."/>
    <pivotTable tabId="6" name="Gender Ratio"/>
    <pivotTable tabId="6" name="ExpBucket"/>
    <pivotTable tabId="6" name="PivotTable9"/>
  </pivotTables>
  <data>
    <tabular pivotCacheId="1047257343">
      <items count="6">
        <i x="5" s="1"/>
        <i x="0" s="1" nd="1"/>
        <i x="2" s="1" nd="1"/>
        <i x="1" s="1" nd="1"/>
        <i x="3"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ID" xr10:uid="{0C6044B9-F77C-4804-BA28-85BA20817833}" sourceName="Emp ID">
  <pivotTables>
    <pivotTable tabId="6" name="Emp Details"/>
    <pivotTable tabId="6" name="Role Ach."/>
    <pivotTable tabId="6" name="Annual Salary Dept"/>
    <pivotTable tabId="6" name="Target vs Sales"/>
    <pivotTable tabId="6" name="Gender Ratio"/>
    <pivotTable tabId="6" name="ExpBucket"/>
    <pivotTable tabId="6" name="PivotTable9"/>
  </pivotTables>
  <data>
    <tabular pivotCacheId="1047257343">
      <items count="10">
        <i x="0"/>
        <i x="1"/>
        <i x="2"/>
        <i x="3"/>
        <i x="4"/>
        <i x="5" s="1"/>
        <i x="6"/>
        <i x="7"/>
        <i x="8"/>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33F0457-0811-4EAC-A3CF-DA5075DBB8A7}" cache="Slicer_Department" caption="Department" showCaption="0" style="SlicerStyleDark4" rowHeight="234950"/>
  <slicer name="Emp ID" xr10:uid="{F1BB0B49-FC25-4D10-A082-F650383E57C6}" cache="Slicer_Emp_ID" caption="Emp ID" showCaption="0"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EA23B9-5596-4F86-AC4D-34864744BCEF}" name="Table2" displayName="Table2" ref="B4:N14" totalsRowShown="0" headerRowDxfId="15" dataDxfId="14" tableBorderDxfId="13">
  <autoFilter ref="B4:N14" xr:uid="{60EA23B9-5596-4F86-AC4D-34864744BCEF}"/>
  <tableColumns count="13">
    <tableColumn id="1" xr3:uid="{FA5424AD-66DE-4B7C-93B4-D583C0022E4B}" name="Emp ID" dataDxfId="12"/>
    <tableColumn id="2" xr3:uid="{DD6285F3-2027-4232-BB29-3B6B155E4203}" name="Name" dataDxfId="11"/>
    <tableColumn id="3" xr3:uid="{7398207E-535D-4830-B2B5-521B0000A0E9}" name="Gender" dataDxfId="10"/>
    <tableColumn id="4" xr3:uid="{A33009AE-AF7C-4A6F-B027-3738BE420E14}" name="Department" dataDxfId="9"/>
    <tableColumn id="5" xr3:uid="{81206799-ED4D-4BF3-9121-4F1BD672F8D6}" name="Location" dataDxfId="8"/>
    <tableColumn id="6" xr3:uid="{0C41A181-C246-40B8-8554-847ABB2226D6}" name="Role" dataDxfId="7"/>
    <tableColumn id="7" xr3:uid="{DDAA9FAB-4461-4D8C-9C81-E3673EFB5F59}" name="Experience (Years)" dataDxfId="6"/>
    <tableColumn id="8" xr3:uid="{9732DA3C-CEE6-4E0E-98D6-93BD96408440}" name="Annual Salary " dataDxfId="5"/>
    <tableColumn id="9" xr3:uid="{ABFAC995-F9A8-4B64-8A10-03F7E1501CC6}" name="Target " dataDxfId="4"/>
    <tableColumn id="10" xr3:uid="{6AB28654-D298-4F19-8BA5-A3E624805C81}" name="Achieved" dataDxfId="3"/>
    <tableColumn id="11" xr3:uid="{15299CA9-1945-471E-A75C-8361F744BC4B}" name="Achievement" dataDxfId="2">
      <calculatedColumnFormula>K5/J5</calculatedColumnFormula>
    </tableColumn>
    <tableColumn id="12" xr3:uid="{E0EF0F4C-478B-4441-9F24-4E37AA04DDD8}" name="Rank" dataDxfId="1">
      <calculatedColumnFormula>_xlfn.RANK.EQ(Table2[[#This Row],[Achievement]], Table2[Achievement])</calculatedColumnFormula>
    </tableColumn>
    <tableColumn id="13" xr3:uid="{4544D773-5FC9-49B2-8E8B-84A1C1D36411}" name="Experience Bucket" dataDxfId="0">
      <calculatedColumnFormula array="1">_xlfn.IFS(Table2[[#This Row],[Experience (Years)]]&lt;=3, "Junior", Table2[[#This Row],[Experience (Years)]]&lt;=7, "Mid Level", Table2[[#This Row],[Experience (Years)]]&gt;7, "Senior")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N14"/>
  <sheetViews>
    <sheetView workbookViewId="0">
      <selection activeCell="N6" sqref="N6"/>
    </sheetView>
  </sheetViews>
  <sheetFormatPr defaultRowHeight="14.4" x14ac:dyDescent="0.3"/>
  <cols>
    <col min="1" max="1" width="8.88671875" style="12"/>
    <col min="2" max="2" width="11.44140625" style="12" bestFit="1" customWidth="1"/>
    <col min="3" max="3" width="14.77734375" style="12" bestFit="1" customWidth="1"/>
    <col min="4" max="4" width="11.5546875" style="12" bestFit="1" customWidth="1"/>
    <col min="5" max="5" width="15.5546875" style="12" bestFit="1" customWidth="1"/>
    <col min="6" max="6" width="12.6640625" style="12" bestFit="1" customWidth="1"/>
    <col min="7" max="7" width="9.77734375" style="12" bestFit="1" customWidth="1"/>
    <col min="8" max="8" width="20.88671875" style="12" bestFit="1" customWidth="1"/>
    <col min="9" max="9" width="17.5546875" style="12" bestFit="1" customWidth="1"/>
    <col min="10" max="10" width="11.21875" style="12" bestFit="1" customWidth="1"/>
    <col min="11" max="11" width="13.21875" style="12" bestFit="1" customWidth="1"/>
    <col min="12" max="12" width="16.5546875" style="12" bestFit="1" customWidth="1"/>
    <col min="13" max="13" width="8.88671875" style="12"/>
    <col min="14" max="14" width="18.21875" style="12" customWidth="1"/>
    <col min="15" max="16384" width="8.88671875" style="12"/>
  </cols>
  <sheetData>
    <row r="3" spans="2:14" ht="25.8" x14ac:dyDescent="0.3">
      <c r="B3" s="34" t="s">
        <v>0</v>
      </c>
      <c r="C3" s="34"/>
      <c r="D3" s="34"/>
      <c r="E3" s="34"/>
      <c r="F3" s="34"/>
      <c r="G3" s="34"/>
      <c r="H3" s="34"/>
      <c r="I3" s="34"/>
      <c r="J3" s="34"/>
      <c r="K3" s="34"/>
      <c r="L3" s="34"/>
      <c r="M3" s="34"/>
      <c r="N3" s="34"/>
    </row>
    <row r="4" spans="2:14" x14ac:dyDescent="0.3">
      <c r="B4" s="5" t="s">
        <v>1</v>
      </c>
      <c r="C4" s="5" t="s">
        <v>2</v>
      </c>
      <c r="D4" s="5" t="s">
        <v>3</v>
      </c>
      <c r="E4" s="5" t="s">
        <v>4</v>
      </c>
      <c r="F4" s="5" t="s">
        <v>5</v>
      </c>
      <c r="G4" s="5" t="s">
        <v>6</v>
      </c>
      <c r="H4" s="5" t="s">
        <v>7</v>
      </c>
      <c r="I4" s="5" t="s">
        <v>8</v>
      </c>
      <c r="J4" s="6" t="s">
        <v>9</v>
      </c>
      <c r="K4" s="5" t="s">
        <v>10</v>
      </c>
      <c r="L4" s="5" t="s">
        <v>11</v>
      </c>
      <c r="M4" s="5" t="s">
        <v>12</v>
      </c>
      <c r="N4" s="5" t="s">
        <v>75</v>
      </c>
    </row>
    <row r="5" spans="2:14" x14ac:dyDescent="0.3">
      <c r="B5" s="1" t="s">
        <v>13</v>
      </c>
      <c r="C5" s="1" t="s">
        <v>14</v>
      </c>
      <c r="D5" s="1" t="s">
        <v>15</v>
      </c>
      <c r="E5" s="1" t="s">
        <v>16</v>
      </c>
      <c r="F5" s="1" t="s">
        <v>17</v>
      </c>
      <c r="G5" s="1" t="s">
        <v>18</v>
      </c>
      <c r="H5" s="1">
        <v>7</v>
      </c>
      <c r="I5" s="2">
        <v>92000</v>
      </c>
      <c r="J5" s="2">
        <v>180000</v>
      </c>
      <c r="K5" s="2">
        <v>175000</v>
      </c>
      <c r="L5" s="3">
        <f t="shared" ref="L5:L14" si="0">K5/J5</f>
        <v>0.97222222222222221</v>
      </c>
      <c r="M5" s="28">
        <f>_xlfn.RANK.EQ(Table2[[#This Row],[Achievement]], Table2[Achievement])</f>
        <v>6</v>
      </c>
      <c r="N5" s="4" t="str" cm="1">
        <f t="array" ref="N5">_xlfn.IFS(Table2[[#This Row],[Experience (Years)]]&lt;=3, "Junior", Table2[[#This Row],[Experience (Years)]]&lt;=7, "Mid Level", Table2[[#This Row],[Experience (Years)]]&gt;7, "Senior")</f>
        <v>Mid Level</v>
      </c>
    </row>
    <row r="6" spans="2:14" x14ac:dyDescent="0.3">
      <c r="B6" s="1" t="s">
        <v>19</v>
      </c>
      <c r="C6" s="1" t="s">
        <v>20</v>
      </c>
      <c r="D6" s="1" t="s">
        <v>21</v>
      </c>
      <c r="E6" s="1" t="s">
        <v>22</v>
      </c>
      <c r="F6" s="1" t="s">
        <v>23</v>
      </c>
      <c r="G6" s="1" t="s">
        <v>24</v>
      </c>
      <c r="H6" s="1">
        <v>3</v>
      </c>
      <c r="I6" s="2">
        <v>62000</v>
      </c>
      <c r="J6" s="2">
        <v>100000</v>
      </c>
      <c r="K6" s="2">
        <v>110000</v>
      </c>
      <c r="L6" s="3">
        <f t="shared" si="0"/>
        <v>1.1000000000000001</v>
      </c>
      <c r="M6" s="29">
        <f>_xlfn.RANK.EQ(Table2[[#This Row],[Achievement]], Table2[Achievement])</f>
        <v>1</v>
      </c>
      <c r="N6" s="2" t="str" cm="1">
        <f t="array" ref="N6">_xlfn.IFS(Table2[[#This Row],[Experience (Years)]]&lt;=3, "Junior", Table2[[#This Row],[Experience (Years)]]&lt;=7, "Mid Level", Table2[[#This Row],[Experience (Years)]]&gt;7, "Senior")</f>
        <v>Junior</v>
      </c>
    </row>
    <row r="7" spans="2:14" x14ac:dyDescent="0.3">
      <c r="B7" s="1" t="s">
        <v>25</v>
      </c>
      <c r="C7" s="1" t="s">
        <v>26</v>
      </c>
      <c r="D7" s="1" t="s">
        <v>15</v>
      </c>
      <c r="E7" s="1" t="s">
        <v>27</v>
      </c>
      <c r="F7" s="1" t="s">
        <v>28</v>
      </c>
      <c r="G7" s="1" t="s">
        <v>29</v>
      </c>
      <c r="H7" s="1">
        <v>10</v>
      </c>
      <c r="I7" s="2">
        <v>78000</v>
      </c>
      <c r="J7" s="2">
        <v>140000</v>
      </c>
      <c r="K7" s="2">
        <v>120000</v>
      </c>
      <c r="L7" s="3">
        <f t="shared" si="0"/>
        <v>0.8571428571428571</v>
      </c>
      <c r="M7" s="29">
        <f>_xlfn.RANK.EQ(Table2[[#This Row],[Achievement]], Table2[Achievement])</f>
        <v>10</v>
      </c>
      <c r="N7" s="2" t="str" cm="1">
        <f t="array" ref="N7">_xlfn.IFS(Table2[[#This Row],[Experience (Years)]]&lt;=3, "Junior", Table2[[#This Row],[Experience (Years)]]&lt;=7, "Mid Level", Table2[[#This Row],[Experience (Years)]]&gt;7, "Senior")</f>
        <v>Senior</v>
      </c>
    </row>
    <row r="8" spans="2:14" x14ac:dyDescent="0.3">
      <c r="B8" s="1" t="s">
        <v>30</v>
      </c>
      <c r="C8" s="1" t="s">
        <v>31</v>
      </c>
      <c r="D8" s="1" t="s">
        <v>21</v>
      </c>
      <c r="E8" s="1" t="s">
        <v>32</v>
      </c>
      <c r="F8" s="1" t="s">
        <v>33</v>
      </c>
      <c r="G8" s="1" t="s">
        <v>34</v>
      </c>
      <c r="H8" s="1">
        <v>5</v>
      </c>
      <c r="I8" s="2">
        <v>105000</v>
      </c>
      <c r="J8" s="2">
        <v>150000</v>
      </c>
      <c r="K8" s="2">
        <v>145000</v>
      </c>
      <c r="L8" s="3">
        <f t="shared" si="0"/>
        <v>0.96666666666666667</v>
      </c>
      <c r="M8" s="29">
        <f>_xlfn.RANK.EQ(Table2[[#This Row],[Achievement]], Table2[Achievement])</f>
        <v>7</v>
      </c>
      <c r="N8" s="2" t="str" cm="1">
        <f t="array" ref="N8">_xlfn.IFS(Table2[[#This Row],[Experience (Years)]]&lt;=3, "Junior", Table2[[#This Row],[Experience (Years)]]&lt;=7, "Mid Level", Table2[[#This Row],[Experience (Years)]]&gt;7, "Senior")</f>
        <v>Mid Level</v>
      </c>
    </row>
    <row r="9" spans="2:14" x14ac:dyDescent="0.3">
      <c r="B9" s="1" t="s">
        <v>35</v>
      </c>
      <c r="C9" s="1" t="s">
        <v>36</v>
      </c>
      <c r="D9" s="1" t="s">
        <v>15</v>
      </c>
      <c r="E9" s="1" t="s">
        <v>37</v>
      </c>
      <c r="F9" s="1" t="s">
        <v>38</v>
      </c>
      <c r="G9" s="1" t="s">
        <v>34</v>
      </c>
      <c r="H9" s="1">
        <v>8</v>
      </c>
      <c r="I9" s="2">
        <v>112000</v>
      </c>
      <c r="J9" s="2">
        <v>200000</v>
      </c>
      <c r="K9" s="2">
        <v>210000</v>
      </c>
      <c r="L9" s="3">
        <f t="shared" si="0"/>
        <v>1.05</v>
      </c>
      <c r="M9" s="29">
        <f>_xlfn.RANK.EQ(Table2[[#This Row],[Achievement]], Table2[Achievement])</f>
        <v>2</v>
      </c>
      <c r="N9" s="2" t="str" cm="1">
        <f t="array" ref="N9">_xlfn.IFS(Table2[[#This Row],[Experience (Years)]]&lt;=3, "Junior", Table2[[#This Row],[Experience (Years)]]&lt;=7, "Mid Level", Table2[[#This Row],[Experience (Years)]]&gt;7, "Senior")</f>
        <v>Senior</v>
      </c>
    </row>
    <row r="10" spans="2:14" x14ac:dyDescent="0.3">
      <c r="B10" s="1" t="s">
        <v>39</v>
      </c>
      <c r="C10" s="1" t="s">
        <v>40</v>
      </c>
      <c r="D10" s="1" t="s">
        <v>21</v>
      </c>
      <c r="E10" s="1" t="s">
        <v>41</v>
      </c>
      <c r="F10" s="1" t="s">
        <v>17</v>
      </c>
      <c r="G10" s="1" t="s">
        <v>24</v>
      </c>
      <c r="H10" s="1">
        <v>4</v>
      </c>
      <c r="I10" s="2">
        <v>67000</v>
      </c>
      <c r="J10" s="2">
        <v>100000</v>
      </c>
      <c r="K10" s="2">
        <v>90000</v>
      </c>
      <c r="L10" s="3">
        <f t="shared" si="0"/>
        <v>0.9</v>
      </c>
      <c r="M10" s="29">
        <f>_xlfn.RANK.EQ(Table2[[#This Row],[Achievement]], Table2[Achievement])</f>
        <v>9</v>
      </c>
      <c r="N10" s="2" t="str" cm="1">
        <f t="array" ref="N10">_xlfn.IFS(Table2[[#This Row],[Experience (Years)]]&lt;=3, "Junior", Table2[[#This Row],[Experience (Years)]]&lt;=7, "Mid Level", Table2[[#This Row],[Experience (Years)]]&gt;7, "Senior")</f>
        <v>Mid Level</v>
      </c>
    </row>
    <row r="11" spans="2:14" x14ac:dyDescent="0.3">
      <c r="B11" s="1" t="s">
        <v>42</v>
      </c>
      <c r="C11" s="1" t="s">
        <v>43</v>
      </c>
      <c r="D11" s="1" t="s">
        <v>15</v>
      </c>
      <c r="E11" s="1" t="s">
        <v>16</v>
      </c>
      <c r="F11" s="1" t="s">
        <v>23</v>
      </c>
      <c r="G11" s="1" t="s">
        <v>18</v>
      </c>
      <c r="H11" s="1">
        <v>9</v>
      </c>
      <c r="I11" s="2">
        <v>88000</v>
      </c>
      <c r="J11" s="2">
        <v>160000</v>
      </c>
      <c r="K11" s="2">
        <v>158000</v>
      </c>
      <c r="L11" s="3">
        <f t="shared" si="0"/>
        <v>0.98750000000000004</v>
      </c>
      <c r="M11" s="29">
        <f>_xlfn.RANK.EQ(Table2[[#This Row],[Achievement]], Table2[Achievement])</f>
        <v>4</v>
      </c>
      <c r="N11" s="2" t="str" cm="1">
        <f t="array" ref="N11">_xlfn.IFS(Table2[[#This Row],[Experience (Years)]]&lt;=3, "Junior", Table2[[#This Row],[Experience (Years)]]&lt;=7, "Mid Level", Table2[[#This Row],[Experience (Years)]]&gt;7, "Senior")</f>
        <v>Senior</v>
      </c>
    </row>
    <row r="12" spans="2:14" x14ac:dyDescent="0.3">
      <c r="B12" s="1" t="s">
        <v>44</v>
      </c>
      <c r="C12" s="1" t="s">
        <v>45</v>
      </c>
      <c r="D12" s="1" t="s">
        <v>21</v>
      </c>
      <c r="E12" s="1" t="s">
        <v>27</v>
      </c>
      <c r="F12" s="1" t="s">
        <v>28</v>
      </c>
      <c r="G12" s="1" t="s">
        <v>29</v>
      </c>
      <c r="H12" s="1">
        <v>6</v>
      </c>
      <c r="I12" s="2">
        <v>74000</v>
      </c>
      <c r="J12" s="2">
        <v>120000</v>
      </c>
      <c r="K12" s="2">
        <v>120000</v>
      </c>
      <c r="L12" s="3">
        <f t="shared" si="0"/>
        <v>1</v>
      </c>
      <c r="M12" s="29">
        <f>_xlfn.RANK.EQ(Table2[[#This Row],[Achievement]], Table2[Achievement])</f>
        <v>3</v>
      </c>
      <c r="N12" s="2" t="str" cm="1">
        <f t="array" ref="N12">_xlfn.IFS(Table2[[#This Row],[Experience (Years)]]&lt;=3, "Junior", Table2[[#This Row],[Experience (Years)]]&lt;=7, "Mid Level", Table2[[#This Row],[Experience (Years)]]&gt;7, "Senior")</f>
        <v>Mid Level</v>
      </c>
    </row>
    <row r="13" spans="2:14" x14ac:dyDescent="0.3">
      <c r="B13" s="1" t="s">
        <v>46</v>
      </c>
      <c r="C13" s="1" t="s">
        <v>47</v>
      </c>
      <c r="D13" s="1" t="s">
        <v>21</v>
      </c>
      <c r="E13" s="1" t="s">
        <v>22</v>
      </c>
      <c r="F13" s="1" t="s">
        <v>33</v>
      </c>
      <c r="G13" s="1" t="s">
        <v>24</v>
      </c>
      <c r="H13" s="1">
        <v>2</v>
      </c>
      <c r="I13" s="2">
        <v>59000</v>
      </c>
      <c r="J13" s="2">
        <v>90000</v>
      </c>
      <c r="K13" s="2">
        <v>85000</v>
      </c>
      <c r="L13" s="3">
        <f t="shared" si="0"/>
        <v>0.94444444444444442</v>
      </c>
      <c r="M13" s="29">
        <f>_xlfn.RANK.EQ(Table2[[#This Row],[Achievement]], Table2[Achievement])</f>
        <v>8</v>
      </c>
      <c r="N13" s="2" t="str" cm="1">
        <f t="array" ref="N13">_xlfn.IFS(Table2[[#This Row],[Experience (Years)]]&lt;=3, "Junior", Table2[[#This Row],[Experience (Years)]]&lt;=7, "Mid Level", Table2[[#This Row],[Experience (Years)]]&gt;7, "Senior")</f>
        <v>Junior</v>
      </c>
    </row>
    <row r="14" spans="2:14" x14ac:dyDescent="0.3">
      <c r="B14" s="21" t="s">
        <v>48</v>
      </c>
      <c r="C14" s="21" t="s">
        <v>49</v>
      </c>
      <c r="D14" s="21" t="s">
        <v>21</v>
      </c>
      <c r="E14" s="21" t="s">
        <v>37</v>
      </c>
      <c r="F14" s="21" t="s">
        <v>38</v>
      </c>
      <c r="G14" s="21" t="s">
        <v>18</v>
      </c>
      <c r="H14" s="21">
        <v>11</v>
      </c>
      <c r="I14" s="22">
        <v>99000</v>
      </c>
      <c r="J14" s="22">
        <v>190000</v>
      </c>
      <c r="K14" s="22">
        <v>185000</v>
      </c>
      <c r="L14" s="23">
        <f t="shared" si="0"/>
        <v>0.97368421052631582</v>
      </c>
      <c r="M14" s="30">
        <f>_xlfn.RANK.EQ(Table2[[#This Row],[Achievement]], Table2[Achievement])</f>
        <v>5</v>
      </c>
      <c r="N14" s="22" t="str" cm="1">
        <f t="array" ref="N14">_xlfn.IFS(Table2[[#This Row],[Experience (Years)]]&lt;=3, "Junior", Table2[[#This Row],[Experience (Years)]]&lt;=7, "Mid Level", Table2[[#This Row],[Experience (Years)]]&gt;7, "Senior")</f>
        <v>Senior</v>
      </c>
    </row>
  </sheetData>
  <mergeCells count="1">
    <mergeCell ref="B3:N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87404-44D5-4E67-BB53-077F015BA704}">
  <dimension ref="A1:D18"/>
  <sheetViews>
    <sheetView workbookViewId="0">
      <selection activeCell="E4" sqref="E4"/>
    </sheetView>
  </sheetViews>
  <sheetFormatPr defaultRowHeight="14.4" x14ac:dyDescent="0.3"/>
  <cols>
    <col min="1" max="1" width="2.109375" style="12" customWidth="1"/>
    <col min="2" max="2" width="4.109375" style="13" bestFit="1" customWidth="1"/>
    <col min="3" max="3" width="112.44140625" style="12" customWidth="1"/>
    <col min="4" max="4" width="33.5546875" style="14" customWidth="1"/>
    <col min="5" max="16384" width="8.88671875" style="12"/>
  </cols>
  <sheetData>
    <row r="1" spans="1:4" s="11" customFormat="1" ht="37.799999999999997" x14ac:dyDescent="1.3">
      <c r="A1" s="7"/>
      <c r="B1" s="8" t="s">
        <v>50</v>
      </c>
      <c r="C1" s="9"/>
      <c r="D1" s="10"/>
    </row>
    <row r="2" spans="1:4" s="11" customFormat="1" ht="37.799999999999997" x14ac:dyDescent="0.3">
      <c r="B2" s="8"/>
      <c r="D2" s="10"/>
    </row>
    <row r="3" spans="1:4" ht="9" customHeight="1" x14ac:dyDescent="0.3"/>
    <row r="4" spans="1:4" s="15" customFormat="1" ht="34.799999999999997" x14ac:dyDescent="0.9">
      <c r="B4" s="39" t="s">
        <v>51</v>
      </c>
      <c r="C4" s="39"/>
      <c r="D4" s="16"/>
    </row>
    <row r="5" spans="1:4" ht="24" x14ac:dyDescent="0.3">
      <c r="B5" s="17">
        <v>1</v>
      </c>
      <c r="C5" s="40" t="s">
        <v>53</v>
      </c>
      <c r="D5" s="40"/>
    </row>
    <row r="6" spans="1:4" ht="24" x14ac:dyDescent="0.3">
      <c r="B6" s="17">
        <v>2</v>
      </c>
      <c r="C6" s="18" t="s">
        <v>54</v>
      </c>
      <c r="D6" s="18"/>
    </row>
    <row r="7" spans="1:4" ht="24" x14ac:dyDescent="0.3">
      <c r="B7" s="17">
        <v>3</v>
      </c>
      <c r="C7" s="40" t="s">
        <v>52</v>
      </c>
      <c r="D7" s="40"/>
    </row>
    <row r="8" spans="1:4" ht="24" x14ac:dyDescent="0.3">
      <c r="B8" s="17">
        <v>4</v>
      </c>
      <c r="C8" s="19" t="s">
        <v>55</v>
      </c>
      <c r="D8" s="19"/>
    </row>
    <row r="9" spans="1:4" ht="24" x14ac:dyDescent="0.3">
      <c r="B9" s="17">
        <v>5</v>
      </c>
      <c r="C9" s="41" t="s">
        <v>56</v>
      </c>
      <c r="D9" s="41"/>
    </row>
    <row r="10" spans="1:4" ht="24" x14ac:dyDescent="0.3">
      <c r="B10" s="17">
        <v>6</v>
      </c>
      <c r="C10" s="41" t="s">
        <v>57</v>
      </c>
      <c r="D10" s="41"/>
    </row>
    <row r="11" spans="1:4" ht="24" x14ac:dyDescent="0.85">
      <c r="B11" s="17">
        <v>7</v>
      </c>
      <c r="C11" s="37" t="s">
        <v>58</v>
      </c>
      <c r="D11" s="38"/>
    </row>
    <row r="12" spans="1:4" ht="24" x14ac:dyDescent="0.85">
      <c r="B12" s="20"/>
      <c r="C12" s="36"/>
      <c r="D12" s="36"/>
    </row>
    <row r="13" spans="1:4" ht="24" x14ac:dyDescent="0.3">
      <c r="B13" s="20"/>
      <c r="C13" s="35"/>
      <c r="D13" s="35"/>
    </row>
    <row r="14" spans="1:4" ht="24" x14ac:dyDescent="0.3">
      <c r="B14" s="20"/>
      <c r="C14" s="35"/>
      <c r="D14" s="35"/>
    </row>
    <row r="15" spans="1:4" ht="24" x14ac:dyDescent="0.3">
      <c r="B15" s="20"/>
      <c r="C15" s="35"/>
      <c r="D15" s="35"/>
    </row>
    <row r="16" spans="1:4" ht="24" x14ac:dyDescent="0.3">
      <c r="B16" s="20"/>
      <c r="C16" s="35"/>
      <c r="D16" s="35"/>
    </row>
    <row r="17" spans="2:4" ht="24" x14ac:dyDescent="0.3">
      <c r="B17" s="20"/>
      <c r="C17" s="35"/>
      <c r="D17" s="35"/>
    </row>
    <row r="18" spans="2:4" ht="24" x14ac:dyDescent="0.3">
      <c r="B18" s="20"/>
      <c r="C18" s="35"/>
      <c r="D18" s="35"/>
    </row>
  </sheetData>
  <mergeCells count="13">
    <mergeCell ref="C11:D11"/>
    <mergeCell ref="B4:C4"/>
    <mergeCell ref="C7:D7"/>
    <mergeCell ref="C5:D5"/>
    <mergeCell ref="C9:D9"/>
    <mergeCell ref="C10:D10"/>
    <mergeCell ref="C18:D18"/>
    <mergeCell ref="C12:D12"/>
    <mergeCell ref="C13:D13"/>
    <mergeCell ref="C14:D14"/>
    <mergeCell ref="C15:D15"/>
    <mergeCell ref="C16:D16"/>
    <mergeCell ref="C17:D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7BC3-7FA4-4E1E-B193-8407D8A04FFA}">
  <dimension ref="A3:V6"/>
  <sheetViews>
    <sheetView topLeftCell="N1" workbookViewId="0">
      <selection activeCell="T7" sqref="T7"/>
    </sheetView>
  </sheetViews>
  <sheetFormatPr defaultRowHeight="14.4" x14ac:dyDescent="0.3"/>
  <cols>
    <col min="1" max="1" width="12.5546875" bestFit="1" customWidth="1"/>
    <col min="2" max="2" width="22.88671875" bestFit="1" customWidth="1"/>
    <col min="3" max="3" width="7" bestFit="1" customWidth="1"/>
    <col min="4" max="4" width="10.77734375" bestFit="1" customWidth="1"/>
    <col min="5" max="5" width="12.5546875" bestFit="1" customWidth="1"/>
    <col min="6" max="6" width="7" bestFit="1" customWidth="1"/>
    <col min="7" max="7" width="9.5546875" bestFit="1" customWidth="1"/>
    <col min="9" max="9" width="12.5546875" bestFit="1" customWidth="1"/>
    <col min="10" max="10" width="7" bestFit="1" customWidth="1"/>
    <col min="11" max="11" width="12.5546875" bestFit="1" customWidth="1"/>
    <col min="12" max="13" width="18.77734375" bestFit="1" customWidth="1"/>
    <col min="14" max="14" width="12.5546875" bestFit="1" customWidth="1"/>
    <col min="15" max="16" width="14.88671875" bestFit="1" customWidth="1"/>
    <col min="17" max="17" width="12.5546875" bestFit="1" customWidth="1"/>
    <col min="18" max="19" width="18.77734375" bestFit="1" customWidth="1"/>
    <col min="20" max="20" width="19.6640625" bestFit="1" customWidth="1"/>
    <col min="21" max="21" width="15.5546875" bestFit="1" customWidth="1"/>
    <col min="22" max="23" width="10.77734375" bestFit="1" customWidth="1"/>
  </cols>
  <sheetData>
    <row r="3" spans="1:22" x14ac:dyDescent="0.3">
      <c r="A3" s="24" t="s">
        <v>59</v>
      </c>
      <c r="B3" t="s">
        <v>62</v>
      </c>
      <c r="E3" s="24" t="s">
        <v>59</v>
      </c>
      <c r="F3" t="s">
        <v>65</v>
      </c>
      <c r="G3" t="s">
        <v>73</v>
      </c>
      <c r="I3" s="24" t="s">
        <v>59</v>
      </c>
      <c r="K3" s="24" t="s">
        <v>59</v>
      </c>
      <c r="L3" t="s">
        <v>64</v>
      </c>
      <c r="N3" s="24" t="s">
        <v>59</v>
      </c>
      <c r="O3" t="s">
        <v>74</v>
      </c>
      <c r="Q3" s="24" t="s">
        <v>59</v>
      </c>
      <c r="R3" t="s">
        <v>64</v>
      </c>
      <c r="T3" s="24" t="s">
        <v>61</v>
      </c>
      <c r="U3" s="24" t="s">
        <v>63</v>
      </c>
    </row>
    <row r="4" spans="1:22" x14ac:dyDescent="0.3">
      <c r="A4" s="25" t="s">
        <v>41</v>
      </c>
      <c r="B4" s="26">
        <v>67000</v>
      </c>
      <c r="E4" s="25" t="s">
        <v>41</v>
      </c>
      <c r="F4" s="26">
        <v>100000</v>
      </c>
      <c r="G4" s="26">
        <v>90000</v>
      </c>
      <c r="I4" s="25" t="s">
        <v>39</v>
      </c>
      <c r="K4" s="25" t="s">
        <v>24</v>
      </c>
      <c r="L4" s="27">
        <v>1</v>
      </c>
      <c r="N4" s="25" t="s">
        <v>21</v>
      </c>
      <c r="O4" s="26">
        <v>1</v>
      </c>
      <c r="Q4" s="25" t="s">
        <v>76</v>
      </c>
      <c r="R4" s="27">
        <v>1</v>
      </c>
      <c r="T4" s="24" t="s">
        <v>59</v>
      </c>
      <c r="U4" t="s">
        <v>21</v>
      </c>
      <c r="V4" t="s">
        <v>60</v>
      </c>
    </row>
    <row r="5" spans="1:22" x14ac:dyDescent="0.3">
      <c r="A5" s="25" t="s">
        <v>60</v>
      </c>
      <c r="B5" s="26">
        <v>67000</v>
      </c>
      <c r="E5" s="25" t="s">
        <v>60</v>
      </c>
      <c r="F5" s="26">
        <v>100000</v>
      </c>
      <c r="G5" s="26">
        <v>90000</v>
      </c>
      <c r="I5" s="25" t="s">
        <v>60</v>
      </c>
      <c r="K5" s="25" t="s">
        <v>60</v>
      </c>
      <c r="L5" s="27">
        <v>1</v>
      </c>
      <c r="N5" s="25" t="s">
        <v>60</v>
      </c>
      <c r="O5" s="26">
        <v>1</v>
      </c>
      <c r="Q5" s="25" t="s">
        <v>60</v>
      </c>
      <c r="R5" s="27">
        <v>1</v>
      </c>
      <c r="T5" s="25" t="s">
        <v>24</v>
      </c>
      <c r="U5" s="26">
        <v>67000</v>
      </c>
      <c r="V5" s="26">
        <v>67000</v>
      </c>
    </row>
    <row r="6" spans="1:22" x14ac:dyDescent="0.3">
      <c r="T6" s="25" t="s">
        <v>60</v>
      </c>
      <c r="U6" s="26">
        <v>67000</v>
      </c>
      <c r="V6" s="26">
        <v>67000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6A6F-BA0F-49F4-86C6-52D59E415ED2}">
  <dimension ref="A1:B34"/>
  <sheetViews>
    <sheetView zoomScale="86" workbookViewId="0">
      <selection activeCell="F29" sqref="F29"/>
    </sheetView>
  </sheetViews>
  <sheetFormatPr defaultRowHeight="17.399999999999999" x14ac:dyDescent="0.6"/>
  <cols>
    <col min="1" max="1" width="19" style="31" customWidth="1"/>
    <col min="2" max="2" width="15.88671875" style="31" customWidth="1"/>
    <col min="3" max="16384" width="8.88671875" style="31"/>
  </cols>
  <sheetData>
    <row r="1" spans="1:2" x14ac:dyDescent="0.6">
      <c r="A1" s="43" t="str">
        <f>Sheet8!B1</f>
        <v>Emily White</v>
      </c>
      <c r="B1" s="43"/>
    </row>
    <row r="2" spans="1:2" x14ac:dyDescent="0.6">
      <c r="A2" s="43"/>
      <c r="B2" s="43"/>
    </row>
    <row r="3" spans="1:2" x14ac:dyDescent="0.6">
      <c r="A3" s="43"/>
      <c r="B3" s="43"/>
    </row>
    <row r="4" spans="1:2" x14ac:dyDescent="0.6">
      <c r="A4" s="43"/>
      <c r="B4" s="43"/>
    </row>
    <row r="5" spans="1:2" x14ac:dyDescent="0.6">
      <c r="A5" s="43"/>
      <c r="B5" s="43"/>
    </row>
    <row r="6" spans="1:2" x14ac:dyDescent="0.6">
      <c r="A6" s="43"/>
      <c r="B6" s="43"/>
    </row>
    <row r="7" spans="1:2" x14ac:dyDescent="0.6">
      <c r="A7" s="42" t="s">
        <v>68</v>
      </c>
      <c r="B7" s="46" t="str">
        <f>Sheet8!C1</f>
        <v>Female</v>
      </c>
    </row>
    <row r="8" spans="1:2" x14ac:dyDescent="0.6">
      <c r="A8" s="42"/>
      <c r="B8" s="46"/>
    </row>
    <row r="9" spans="1:2" x14ac:dyDescent="0.6">
      <c r="A9" s="42"/>
      <c r="B9" s="46"/>
    </row>
    <row r="10" spans="1:2" x14ac:dyDescent="0.6">
      <c r="A10" s="42" t="s">
        <v>67</v>
      </c>
      <c r="B10" s="47" t="str">
        <f>Sheet8!F1</f>
        <v>Executive</v>
      </c>
    </row>
    <row r="11" spans="1:2" x14ac:dyDescent="0.6">
      <c r="A11" s="42"/>
      <c r="B11" s="47"/>
    </row>
    <row r="12" spans="1:2" x14ac:dyDescent="0.6">
      <c r="A12" s="42"/>
      <c r="B12" s="47"/>
    </row>
    <row r="13" spans="1:2" x14ac:dyDescent="0.6">
      <c r="A13" s="42" t="s">
        <v>69</v>
      </c>
      <c r="B13" s="46" t="str">
        <f>Sheet8!G1 &amp; " Year(s)"</f>
        <v>4 Year(s)</v>
      </c>
    </row>
    <row r="14" spans="1:2" x14ac:dyDescent="0.6">
      <c r="A14" s="42"/>
      <c r="B14" s="46"/>
    </row>
    <row r="15" spans="1:2" x14ac:dyDescent="0.6">
      <c r="A15" s="42"/>
      <c r="B15" s="46"/>
    </row>
    <row r="16" spans="1:2" x14ac:dyDescent="0.6">
      <c r="A16" s="44" t="s">
        <v>70</v>
      </c>
      <c r="B16" s="46" t="str">
        <f>"$" &amp; Sheet8!H1</f>
        <v>$67000</v>
      </c>
    </row>
    <row r="17" spans="1:2" x14ac:dyDescent="0.6">
      <c r="A17" s="44"/>
      <c r="B17" s="46"/>
    </row>
    <row r="18" spans="1:2" x14ac:dyDescent="0.6">
      <c r="A18" s="44"/>
      <c r="B18" s="46"/>
    </row>
    <row r="19" spans="1:2" x14ac:dyDescent="0.6">
      <c r="A19" s="42" t="s">
        <v>71</v>
      </c>
      <c r="B19" s="48">
        <f>Sheet8!K1</f>
        <v>0.9</v>
      </c>
    </row>
    <row r="20" spans="1:2" x14ac:dyDescent="0.6">
      <c r="A20" s="42"/>
      <c r="B20" s="46"/>
    </row>
    <row r="21" spans="1:2" x14ac:dyDescent="0.6">
      <c r="A21" s="42"/>
      <c r="B21" s="46"/>
    </row>
    <row r="22" spans="1:2" x14ac:dyDescent="0.6">
      <c r="A22" s="42" t="s">
        <v>72</v>
      </c>
      <c r="B22" s="46">
        <f>Sheet8!L1</f>
        <v>9</v>
      </c>
    </row>
    <row r="23" spans="1:2" x14ac:dyDescent="0.6">
      <c r="A23" s="42"/>
      <c r="B23" s="46"/>
    </row>
    <row r="24" spans="1:2" x14ac:dyDescent="0.6">
      <c r="A24" s="42"/>
      <c r="B24" s="46"/>
    </row>
    <row r="25" spans="1:2" x14ac:dyDescent="0.6">
      <c r="A25" s="42" t="s">
        <v>66</v>
      </c>
      <c r="B25" s="45" t="str">
        <f>Sheet8!D1</f>
        <v>Operations</v>
      </c>
    </row>
    <row r="26" spans="1:2" x14ac:dyDescent="0.6">
      <c r="A26" s="42"/>
      <c r="B26" s="45"/>
    </row>
    <row r="27" spans="1:2" x14ac:dyDescent="0.6">
      <c r="A27" s="42"/>
      <c r="B27" s="45"/>
    </row>
    <row r="28" spans="1:2" x14ac:dyDescent="0.6">
      <c r="A28" s="33"/>
      <c r="B28" s="32"/>
    </row>
    <row r="29" spans="1:2" x14ac:dyDescent="0.6">
      <c r="A29" s="33"/>
      <c r="B29" s="32"/>
    </row>
    <row r="30" spans="1:2" x14ac:dyDescent="0.6">
      <c r="A30" s="33"/>
      <c r="B30" s="32"/>
    </row>
    <row r="31" spans="1:2" x14ac:dyDescent="0.6">
      <c r="A31" s="32"/>
      <c r="B31" s="32"/>
    </row>
    <row r="32" spans="1:2" x14ac:dyDescent="0.6">
      <c r="A32" s="32"/>
      <c r="B32" s="32"/>
    </row>
    <row r="33" spans="1:2" x14ac:dyDescent="0.6">
      <c r="A33" s="32"/>
      <c r="B33" s="32"/>
    </row>
    <row r="34" spans="1:2" x14ac:dyDescent="0.6">
      <c r="A34" s="32"/>
      <c r="B34" s="32"/>
    </row>
  </sheetData>
  <mergeCells count="15">
    <mergeCell ref="A22:A24"/>
    <mergeCell ref="A25:A27"/>
    <mergeCell ref="A1:B6"/>
    <mergeCell ref="A7:A9"/>
    <mergeCell ref="A10:A12"/>
    <mergeCell ref="A13:A15"/>
    <mergeCell ref="A16:A18"/>
    <mergeCell ref="A19:A21"/>
    <mergeCell ref="B25:B27"/>
    <mergeCell ref="B7:B9"/>
    <mergeCell ref="B10:B12"/>
    <mergeCell ref="B13:B15"/>
    <mergeCell ref="B16:B18"/>
    <mergeCell ref="B19:B21"/>
    <mergeCell ref="B22:B2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4E75-C7FB-424C-B5B3-E4161EDCB942}">
  <dimension ref="A1:M1"/>
  <sheetViews>
    <sheetView tabSelected="1" workbookViewId="0">
      <selection activeCell="K1" sqref="K1"/>
    </sheetView>
  </sheetViews>
  <sheetFormatPr defaultRowHeight="14.4" x14ac:dyDescent="0.3"/>
  <sheetData>
    <row r="1" spans="1:13" x14ac:dyDescent="0.3">
      <c r="A1" t="str" cm="1">
        <f t="array" ref="A1:M1">_xlfn.XLOOKUP('Pivot Tables'!$I$4, Table2[Emp ID], Table2[])</f>
        <v>E106</v>
      </c>
      <c r="B1" t="str">
        <v>Emily White</v>
      </c>
      <c r="C1" t="str">
        <v>Female</v>
      </c>
      <c r="D1" t="str">
        <v>Operations</v>
      </c>
      <c r="E1" t="str">
        <v>New York</v>
      </c>
      <c r="F1" t="str">
        <v>Executive</v>
      </c>
      <c r="G1">
        <v>4</v>
      </c>
      <c r="H1">
        <v>67000</v>
      </c>
      <c r="I1">
        <v>100000</v>
      </c>
      <c r="J1">
        <v>90000</v>
      </c>
      <c r="K1" s="27">
        <v>0.9</v>
      </c>
      <c r="L1">
        <v>9</v>
      </c>
      <c r="M1" t="str">
        <v>Mid Level</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vt:lpstr>
      <vt:lpstr>Queries</vt:lpstr>
      <vt:lpstr>Pivot Tables</vt:lpstr>
      <vt:lpstr>Dashboard</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Suzal Chouhan</dc:creator>
  <cp:lastModifiedBy>Suzal Chouhan</cp:lastModifiedBy>
  <dcterms:created xsi:type="dcterms:W3CDTF">2015-06-05T18:17:20Z</dcterms:created>
  <dcterms:modified xsi:type="dcterms:W3CDTF">2025-07-05T17:58:51Z</dcterms:modified>
</cp:coreProperties>
</file>